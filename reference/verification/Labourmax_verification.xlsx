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Figures" sheetId="2" state="visible" r:id="rId2"/>
  </sheets>
  <definedNames>
    <definedName name="_xlnm._FilterDatabase" localSheetId="1" hidden="1">'Figures'!$A$1:$N$1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i val="1"/>
    </font>
    <font>
      <b val="1"/>
      <sz val="12"/>
    </font>
    <font>
      <b val="1"/>
      <color rgb="00FFFFFF"/>
    </font>
    <font>
      <b val="1"/>
    </font>
    <font>
      <name val="Calibri"/>
      <family val="2"/>
      <color theme="10"/>
      <sz val="12"/>
      <scheme val="minor"/>
    </font>
  </fonts>
  <fills count="5">
    <fill>
      <patternFill/>
    </fill>
    <fill>
      <patternFill patternType="gray125"/>
    </fill>
    <fill>
      <patternFill patternType="solid">
        <fgColor rgb="001F3864"/>
      </patternFill>
    </fill>
    <fill>
      <patternFill patternType="solid">
        <fgColor rgb="00DCE6F5"/>
      </patternFill>
    </fill>
    <fill>
      <patternFill patternType="solid">
        <fgColor rgb="00EDEDED"/>
      </patternFill>
    </fill>
  </fills>
  <borders count="1">
    <border>
      <left/>
      <right/>
      <top/>
      <bottom/>
      <diagonal/>
    </border>
  </borders>
  <cellStyleXfs count="2">
    <xf numFmtId="0" fontId="0" fillId="0" borderId="0"/>
    <xf numFmtId="0" fontId="6"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0" borderId="0" applyAlignment="1" pivotButton="0" quotePrefix="0" xfId="0">
      <alignment wrapText="1"/>
    </xf>
    <xf numFmtId="0" fontId="5" fillId="0" borderId="0" pivotButton="0" quotePrefix="0" xfId="0"/>
    <xf numFmtId="0" fontId="0" fillId="3" borderId="0" pivotButton="0" quotePrefix="0" xfId="0"/>
    <xf numFmtId="0" fontId="5" fillId="3" borderId="0" pivotButton="0" quotePrefix="0" xfId="0"/>
    <xf numFmtId="0" fontId="4" fillId="2" borderId="0" applyAlignment="1" pivotButton="0" quotePrefix="0" xfId="0">
      <alignment vertical="center" wrapText="1"/>
    </xf>
    <xf numFmtId="0" fontId="0" fillId="4" borderId="0" applyAlignment="1" pivotButton="0" quotePrefix="0" xfId="0">
      <alignment vertical="top" wrapText="1"/>
    </xf>
    <xf numFmtId="0" fontId="0" fillId="4" borderId="0" applyAlignment="1" pivotButton="0" quotePrefix="0" xfId="0">
      <alignment vertical="top"/>
    </xf>
    <xf numFmtId="0" fontId="0" fillId="3" borderId="0" applyAlignment="1" pivotButton="0" quotePrefix="0" xfId="0">
      <alignment vertical="top"/>
    </xf>
    <xf numFmtId="0" fontId="0" fillId="4" borderId="0"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6" fillId="4" borderId="0" pivotButton="0" quotePrefix="0" xfId="1"/>
    <xf numFmtId="0" fontId="6" fillId="0" borderId="0" pivotButton="0" quotePrefix="0" xfId="1"/>
  </cellXfs>
  <cellStyles count="2">
    <cellStyle name="Normal" xfId="0" builtinId="0" hidden="0"/>
    <cellStyle name="Hyperlink" xfId="1" builtinId="8" hidden="0"/>
  </cellStyles>
  <dxfs count="2">
    <dxf>
      <fill>
        <patternFill patternType="solid">
          <fgColor rgb="00D5EAD3"/>
        </patternFill>
      </fill>
    </dxf>
    <dxf>
      <fill>
        <patternFill patternType="solid">
          <fgColor rgb="00FBE2C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gov.za/sites/default/files/gcis_document/202603/54412rg11965gon7296.pdf" TargetMode="External" Id="rId1" /><Relationship Type="http://schemas.openxmlformats.org/officeDocument/2006/relationships/hyperlink" Target="https://www.gov.za/sites/default/files/gcis_document/202603/54412rg11965gon7296.pdf" TargetMode="External" Id="rId2" /><Relationship Type="http://schemas.openxmlformats.org/officeDocument/2006/relationships/hyperlink" Target="https://www.gov.za/sites/default/files/gcis_document/202603/54412rg11965gon7296.pdf" TargetMode="External" Id="rId3" /><Relationship Type="http://schemas.openxmlformats.org/officeDocument/2006/relationships/hyperlink" Target="https://www.gov.za/sites/default/files/gcis_document/202603/54412rg11965gon7296.pdf" TargetMode="External" Id="rId4" /><Relationship Type="http://schemas.openxmlformats.org/officeDocument/2006/relationships/hyperlink" Target="https://www.gov.za/sites/default/files/gcis_document/202603/54412rg11965gon7296.pdf" TargetMode="External" Id="rId5" /><Relationship Type="http://schemas.openxmlformats.org/officeDocument/2006/relationships/hyperlink" Target="https://www.gov.za/sites/default/files/gcis_document/202603/54412rg11965gon7296.pdf" TargetMode="External" Id="rId6" /><Relationship Type="http://schemas.openxmlformats.org/officeDocument/2006/relationships/hyperlink" Target="https://www.gov.za/sites/default/files/gcis_document/202603/54412rg11965gon7296.pdf" TargetMode="External" Id="rId7" /><Relationship Type="http://schemas.openxmlformats.org/officeDocument/2006/relationships/hyperlink" Target="https://www.gov.za/sites/default/files/gcis_document/202603/54412rg11965gon7296.pdf" TargetMode="External" Id="rId8" /><Relationship Type="http://schemas.openxmlformats.org/officeDocument/2006/relationships/hyperlink" Target="https://www.gov.za/sites/default/files/gcis_document/202603/54412rg11965gon7296.pdf" TargetMode="External" Id="rId9" /><Relationship Type="http://schemas.openxmlformats.org/officeDocument/2006/relationships/hyperlink" Target="https://www.gov.za/sites/default/files/gcis_document/202603/54412rg11965gon7296.pdf" TargetMode="External" Id="rId10" /><Relationship Type="http://schemas.openxmlformats.org/officeDocument/2006/relationships/hyperlink" Target="https://www.gov.za/sites/default/files/gcis_document/202603/54412rg11965gon7296.pdf" TargetMode="External" Id="rId11" /><Relationship Type="http://schemas.openxmlformats.org/officeDocument/2006/relationships/hyperlink" Target="https://www.labour.gov.za/DocumentCenter/Acts/Basic%20Conditions%20of%20Employment/Act%20-%20Basic%20Conditions%20of%20Employment.pdf" TargetMode="External" Id="rId12" /><Relationship Type="http://schemas.openxmlformats.org/officeDocument/2006/relationships/hyperlink" Target="https://www.labour.gov.za/DocumentCenter/Acts/Basic%20Conditions%20of%20Employment/Act%20-%20Basic%20Conditions%20of%20Employment.pdf" TargetMode="External" Id="rId13" /><Relationship Type="http://schemas.openxmlformats.org/officeDocument/2006/relationships/hyperlink" Target="https://www.labour.gov.za/DocumentCenter/Acts/Basic%20Conditions%20of%20Employment/Act%20-%20Basic%20Conditions%20of%20Employment.pdf" TargetMode="External" Id="rId14" /><Relationship Type="http://schemas.openxmlformats.org/officeDocument/2006/relationships/hyperlink" Target="https://www.labour.gov.za/DocumentCenter/Acts/Basic%20Conditions%20of%20Employment/Act%20-%20Basic%20Conditions%20of%20Employment.pdf" TargetMode="External" Id="rId15" /><Relationship Type="http://schemas.openxmlformats.org/officeDocument/2006/relationships/hyperlink" Target="https://www.gov.za/sites/default/files/gcis_document/201409/a75-97.pdf" TargetMode="External" Id="rId16" /><Relationship Type="http://schemas.openxmlformats.org/officeDocument/2006/relationships/hyperlink" Target="https://www.gov.za/sites/default/files/gcis_document/201409/a75-97.pdf" TargetMode="External" Id="rId17" /><Relationship Type="http://schemas.openxmlformats.org/officeDocument/2006/relationships/hyperlink" Target="https://www.wits.ac.za/media/wits-university/about-wits/documents/Form%20BCEA1A%20-%20Summary%20of%20the%20Act%20-%20English.pdf" TargetMode="External" Id="rId18" /><Relationship Type="http://schemas.openxmlformats.org/officeDocument/2006/relationships/hyperlink" Target="https://www.wits.ac.za/media/wits-university/about-wits/documents/Form%20BCEA1A%20-%20Summary%20of%20the%20Act%20-%20English.pdf" TargetMode="External" Id="rId19" /><Relationship Type="http://schemas.openxmlformats.org/officeDocument/2006/relationships/hyperlink" Target="https://www.gov.za/sites/default/files/gcis_document/201409/a75-97.pdf" TargetMode="External" Id="rId20" /><Relationship Type="http://schemas.openxmlformats.org/officeDocument/2006/relationships/hyperlink" Target="https://www.gov.za/sites/default/files/gcis_document/201409/a75-97.pdf" TargetMode="External" Id="rId21" /><Relationship Type="http://schemas.openxmlformats.org/officeDocument/2006/relationships/hyperlink" Target="https://www.labour.gov.za/DocumentCenter/Acts/Basic%20Conditions%20of%20Employment/Act%20-%20Basic%20Conditions%20of%20Employment.pdf" TargetMode="External" Id="rId22" /><Relationship Type="http://schemas.openxmlformats.org/officeDocument/2006/relationships/hyperlink" Target="https://www.labour.gov.za/DocumentCenter/Acts/Basic%20Conditions%20of%20Employment/Act%20-%20Basic%20Conditions%20of%20Employment.pdf" TargetMode="External" Id="rId23" /><Relationship Type="http://schemas.openxmlformats.org/officeDocument/2006/relationships/hyperlink" Target="https://www.gov.za/sites/default/files/gcis_document/202602/54075rg11941gon7083.pdf" TargetMode="External" Id="rId24" /><Relationship Type="http://schemas.openxmlformats.org/officeDocument/2006/relationships/hyperlink" Target="https://www.gov.za/sites/default/files/gcis_document/202602/54075rg11941gon7083.pdf" TargetMode="External" Id="rId25" /><Relationship Type="http://schemas.openxmlformats.org/officeDocument/2006/relationships/hyperlink" Target="https://www.gov.za/sites/default/files/gcis_document/202602/54075rg11941gon7083.pdf" TargetMode="External" Id="rId26" /><Relationship Type="http://schemas.openxmlformats.org/officeDocument/2006/relationships/hyperlink" Target="https://www.gov.za/sites/default/files/gcis_document/202602/54075rg11941gon7083.pdf" TargetMode="External" Id="rId27" /><Relationship Type="http://schemas.openxmlformats.org/officeDocument/2006/relationships/hyperlink" Target="https://www.gov.za/sites/default/files/gcis_document/202602/54075rg11941gon7083.pdf" TargetMode="External" Id="rId28" /><Relationship Type="http://schemas.openxmlformats.org/officeDocument/2006/relationships/hyperlink" Target="https://www.gov.za/sites/default/files/gcis_document/202602/54075rg11941gon7083.pdf" TargetMode="External" Id="rId29" /><Relationship Type="http://schemas.openxmlformats.org/officeDocument/2006/relationships/hyperlink" Target="https://www.gov.za/sites/default/files/gcis_document/202602/54075rg11941gon7083.pdf" TargetMode="External" Id="rId30" /><Relationship Type="http://schemas.openxmlformats.org/officeDocument/2006/relationships/hyperlink" Target="https://www.gov.za/sites/default/files/gcis_document/202602/54075rg11941gon7083.pdf" TargetMode="External" Id="rId31" /><Relationship Type="http://schemas.openxmlformats.org/officeDocument/2006/relationships/hyperlink" Target="https://www.sars.gov.za/wp-content/uploads/Ops/Guides/PAYE-AE-06-G06-Guide-for-Codes-Applicable-to-Employees-Tax-Certificates-2026-External-Guide.pdf" TargetMode="External" Id="rId32" /><Relationship Type="http://schemas.openxmlformats.org/officeDocument/2006/relationships/hyperlink" Target="https://www.sars.gov.za/wp-content/uploads/Ops/Guides/PAYE-AE-06-G06-Guide-for-Codes-Applicable-to-Employees-Tax-Certificates-2026-External-Guide.pdf" TargetMode="External" Id="rId33" /><Relationship Type="http://schemas.openxmlformats.org/officeDocument/2006/relationships/hyperlink" Target="https://www.sars.gov.za/wp-content/uploads/Ops/Guides/PAYE-AE-06-G06-Guide-for-Codes-Applicable-to-Employees-Tax-Certificates-2026-External-Guide.pdf" TargetMode="External" Id="rId34" /><Relationship Type="http://schemas.openxmlformats.org/officeDocument/2006/relationships/hyperlink" Target="https://www.sars.gov.za/wp-content/uploads/Ops/Guides/PAYE-AE-06-G06-Guide-for-Codes-Applicable-to-Employees-Tax-Certificates-2026-External-Guide.pdf" TargetMode="External" Id="rId35" /><Relationship Type="http://schemas.openxmlformats.org/officeDocument/2006/relationships/hyperlink" Target="https://www.sars.gov.za/wp-content/uploads/Ops/Guides/PAYE-AE-06-G06-Guide-for-Codes-Applicable-to-Employees-Tax-Certificates-2026-External-Guide.pdf" TargetMode="External" Id="rId36" /><Relationship Type="http://schemas.openxmlformats.org/officeDocument/2006/relationships/hyperlink" Target="https://www.sars.gov.za/wp-content/uploads/Ops/Guides/PAYE-AE-06-G06-Guide-for-Codes-Applicable-to-Employees-Tax-Certificates-2026-External-Guide.pdf" TargetMode="External" Id="rId37" /><Relationship Type="http://schemas.openxmlformats.org/officeDocument/2006/relationships/hyperlink" Target="https://www.sars.gov.za/wp-content/uploads/Ops/Guides/PAYE-AE-06-G06-Guide-for-Codes-Applicable-to-Employees-Tax-Certificates-2026-External-Guide.pdf" TargetMode="External" Id="rId38" /><Relationship Type="http://schemas.openxmlformats.org/officeDocument/2006/relationships/hyperlink" Target="https://www.sars.gov.za/wp-content/uploads/Ops/Guides/PAYE-AE-06-G06-Guide-for-Codes-Applicable-to-Employees-Tax-Certificates-2026-External-Guide.pdf" TargetMode="External" Id="rId39" /><Relationship Type="http://schemas.openxmlformats.org/officeDocument/2006/relationships/hyperlink" Target="https://www.sars.gov.za/wp-content/uploads/Ops/Guides/PAYE-AE-06-G06-Guide-for-Codes-Applicable-to-Employees-Tax-Certificates-2026-External-Guide.pdf" TargetMode="External" Id="rId40" /><Relationship Type="http://schemas.openxmlformats.org/officeDocument/2006/relationships/hyperlink" Target="https://www.sars.gov.za/wp-content/uploads/Ops/Guides/PAYE-AE-06-G06-Guide-for-Codes-Applicable-to-Employees-Tax-Certificates-2026-External-Guide.pdf" TargetMode="External" Id="rId41" /><Relationship Type="http://schemas.openxmlformats.org/officeDocument/2006/relationships/hyperlink" Target="https://www.sars.gov.za/wp-content/uploads/Ops/Guides/PAYE-AE-06-G06-Guide-for-Codes-Applicable-to-Employees-Tax-Certificates-2026-External-Guide.pdf" TargetMode="External" Id="rId42" /><Relationship Type="http://schemas.openxmlformats.org/officeDocument/2006/relationships/hyperlink" Target="https://www.sars.gov.za/wp-content/uploads/Ops/Guides/PAYE-AE-06-G06-Guide-for-Codes-Applicable-to-Employees-Tax-Certificates-2026-External-Guide.pdf" TargetMode="External" Id="rId43" /><Relationship Type="http://schemas.openxmlformats.org/officeDocument/2006/relationships/hyperlink" Target="https://www.sars.gov.za/wp-content/uploads/Ops/Guides/PAYE-AE-06-G06-Guide-for-Codes-Applicable-to-Employees-Tax-Certificates-2026-External-Guide.pdf" TargetMode="External" Id="rId44" /><Relationship Type="http://schemas.openxmlformats.org/officeDocument/2006/relationships/hyperlink" Target="https://www.sars.gov.za/wp-content/uploads/Ops/Guides/PAYE-AE-06-G06-Guide-for-Codes-Applicable-to-Employees-Tax-Certificates-2026-External-Guide.pdf" TargetMode="External" Id="rId45" /><Relationship Type="http://schemas.openxmlformats.org/officeDocument/2006/relationships/hyperlink" Target="https://www.sars.gov.za/wp-content/uploads/Ops/Guides/PAYE-AE-06-G06-Guide-for-Codes-Applicable-to-Employees-Tax-Certificates-2026-External-Guide.pdf" TargetMode="External" Id="rId46" /><Relationship Type="http://schemas.openxmlformats.org/officeDocument/2006/relationships/hyperlink" Target="https://www.sars.gov.za/wp-content/uploads/Ops/Guides/PAYE-AE-06-G06-Guide-for-Codes-Applicable-to-Employees-Tax-Certificates-2026-External-Guide.pdf" TargetMode="External" Id="rId47" /><Relationship Type="http://schemas.openxmlformats.org/officeDocument/2006/relationships/hyperlink" Target="https://www.sars.gov.za/wp-content/uploads/Ops/Guides/PAYE-AE-06-G06-Guide-for-Codes-Applicable-to-Employees-Tax-Certificates-2026-External-Guide.pdf" TargetMode="External" Id="rId48" /><Relationship Type="http://schemas.openxmlformats.org/officeDocument/2006/relationships/hyperlink" Target="https://www.sars.gov.za/wp-content/uploads/Ops/Guides/PAYE-AE-06-G06-Guide-for-Codes-Applicable-to-Employees-Tax-Certificates-2026-External-Guide.pdf" TargetMode="External" Id="rId49" /><Relationship Type="http://schemas.openxmlformats.org/officeDocument/2006/relationships/hyperlink" Target="https://www.sars.gov.za/wp-content/uploads/Ops/Guides/PAYE-AE-06-G06-Guide-for-Codes-Applicable-to-Employees-Tax-Certificates-2026-External-Guide.pdf" TargetMode="External" Id="rId50" /><Relationship Type="http://schemas.openxmlformats.org/officeDocument/2006/relationships/hyperlink" Target="https://www.sars.gov.za/wp-content/uploads/Ops/Guides/PAYE-AE-06-G06-Guide-for-Codes-Applicable-to-Employees-Tax-Certificates-2026-External-Guide.pdf" TargetMode="External" Id="rId51" /><Relationship Type="http://schemas.openxmlformats.org/officeDocument/2006/relationships/hyperlink" Target="https://www.sars.gov.za/wp-content/uploads/Ops/Guides/PAYE-AE-06-G06-Guide-for-Codes-Applicable-to-Employees-Tax-Certificates-2026-External-Guide.pdf" TargetMode="External" Id="rId52" /><Relationship Type="http://schemas.openxmlformats.org/officeDocument/2006/relationships/hyperlink" Target="https://www.sars.gov.za/wp-content/uploads/Ops/Guides/PAYE-AE-06-G06-Guide-for-Codes-Applicable-to-Employees-Tax-Certificates-2026-External-Guide.pdf" TargetMode="External" Id="rId53" /><Relationship Type="http://schemas.openxmlformats.org/officeDocument/2006/relationships/hyperlink" Target="https://www.sars.gov.za/wp-content/uploads/Ops/Guides/PAYE-AE-06-G06-Guide-for-Codes-Applicable-to-Employees-Tax-Certificates-2026-External-Guide.pdf" TargetMode="External" Id="rId54" /><Relationship Type="http://schemas.openxmlformats.org/officeDocument/2006/relationships/hyperlink" Target="https://www.sars.gov.za/wp-content/uploads/Ops/Guides/PAYE-AE-06-G06-Guide-for-Codes-Applicable-to-Employees-Tax-Certificates-2026-External-Guide.pdf" TargetMode="External" Id="rId55" /><Relationship Type="http://schemas.openxmlformats.org/officeDocument/2006/relationships/hyperlink" Target="https://www.sars.gov.za/wp-content/uploads/Ops/Guides/PAYE-AE-06-G06-Guide-for-Codes-Applicable-to-Employees-Tax-Certificates-2026-External-Guide.pdf" TargetMode="External" Id="rId56" /><Relationship Type="http://schemas.openxmlformats.org/officeDocument/2006/relationships/hyperlink" Target="https://www.sars.gov.za/wp-content/uploads/Ops/Guides/PAYE-AE-06-G06-Guide-for-Codes-Applicable-to-Employees-Tax-Certificates-2026-External-Guide.pdf" TargetMode="External" Id="rId57" /><Relationship Type="http://schemas.openxmlformats.org/officeDocument/2006/relationships/hyperlink" Target="https://www.sars.gov.za/wp-content/uploads/Ops/Guides/PAYE-AE-06-G06-Guide-for-Codes-Applicable-to-Employees-Tax-Certificates-2026-External-Guide.pdf" TargetMode="External" Id="rId58" /><Relationship Type="http://schemas.openxmlformats.org/officeDocument/2006/relationships/hyperlink" Target="https://www.sars.gov.za/wp-content/uploads/Ops/Guides/PAYE-AE-06-G06-Guide-for-Codes-Applicable-to-Employees-Tax-Certificates-2026-External-Guide.pdf" TargetMode="External" Id="rId59" /><Relationship Type="http://schemas.openxmlformats.org/officeDocument/2006/relationships/hyperlink" Target="https://www.sars.gov.za/wp-content/uploads/Ops/Guides/PAYE-AE-06-G06-Guide-for-Codes-Applicable-to-Employees-Tax-Certificates-2026-External-Guide.pdf" TargetMode="External" Id="rId60" /><Relationship Type="http://schemas.openxmlformats.org/officeDocument/2006/relationships/hyperlink" Target="https://www.sars.gov.za/wp-content/uploads/Ops/Guides/PAYE-AE-06-G06-Guide-for-Codes-Applicable-to-Employees-Tax-Certificates-2026-External-Guide.pdf" TargetMode="External" Id="rId61" /><Relationship Type="http://schemas.openxmlformats.org/officeDocument/2006/relationships/hyperlink" Target="https://www.sars.gov.za/wp-content/uploads/Ops/Guides/PAYE-AE-06-G06-Guide-for-Codes-Applicable-to-Employees-Tax-Certificates-2026-External-Guide.pdf" TargetMode="External" Id="rId62" /><Relationship Type="http://schemas.openxmlformats.org/officeDocument/2006/relationships/hyperlink" Target="https://www.sars.gov.za/wp-content/uploads/Ops/Guides/PAYE-AE-06-G06-Guide-for-Codes-Applicable-to-Employees-Tax-Certificates-2026-External-Guide.pdf" TargetMode="External" Id="rId63" /><Relationship Type="http://schemas.openxmlformats.org/officeDocument/2006/relationships/hyperlink" Target="https://www.sars.gov.za/wp-content/uploads/Ops/Guides/PAYE-AE-06-G06-Guide-for-Codes-Applicable-to-Employees-Tax-Certificates-2026-External-Guide.pdf" TargetMode="External" Id="rId64" /><Relationship Type="http://schemas.openxmlformats.org/officeDocument/2006/relationships/hyperlink" Target="https://www.sars.gov.za/wp-content/uploads/Ops/Guides/PAYE-AE-06-G06-Guide-for-Codes-Applicable-to-Employees-Tax-Certificates-2026-External-Guide.pdf" TargetMode="External" Id="rId65" /><Relationship Type="http://schemas.openxmlformats.org/officeDocument/2006/relationships/hyperlink" Target="https://www.sars.gov.za/wp-content/uploads/Ops/Guides/PAYE-AE-06-G06-Guide-for-Codes-Applicable-to-Employees-Tax-Certificates-2026-External-Guide.pdf" TargetMode="External" Id="rId66" /><Relationship Type="http://schemas.openxmlformats.org/officeDocument/2006/relationships/hyperlink" Target="https://www.sars.gov.za/wp-content/uploads/Ops/Guides/PAYE-AE-06-G06-Guide-for-Codes-Applicable-to-Employees-Tax-Certificates-2026-External-Guide.pdf" TargetMode="External" Id="rId67" /><Relationship Type="http://schemas.openxmlformats.org/officeDocument/2006/relationships/hyperlink" Target="https://www.sars.gov.za/wp-content/uploads/Ops/Guides/PAYE-AE-06-G06-Guide-for-Codes-Applicable-to-Employees-Tax-Certificates-2026-External-Guide.pdf" TargetMode="External" Id="rId68" /><Relationship Type="http://schemas.openxmlformats.org/officeDocument/2006/relationships/hyperlink" Target="https://www.sars.gov.za/wp-content/uploads/Ops/Guides/PAYE-AE-06-G06-Guide-for-Codes-Applicable-to-Employees-Tax-Certificates-2026-External-Guide.pdf" TargetMode="External" Id="rId69" /><Relationship Type="http://schemas.openxmlformats.org/officeDocument/2006/relationships/hyperlink" Target="https://www.sars.gov.za/wp-content/uploads/Ops/Guides/PAYE-AE-06-G06-Guide-for-Codes-Applicable-to-Employees-Tax-Certificates-2026-External-Guide.pdf" TargetMode="External" Id="rId70" /><Relationship Type="http://schemas.openxmlformats.org/officeDocument/2006/relationships/hyperlink" Target="https://www.sars.gov.za/wp-content/uploads/Ops/Guides/PAYE-AE-06-G06-Guide-for-Codes-Applicable-to-Employees-Tax-Certificates-2026-External-Guide.pdf" TargetMode="External" Id="rId71" /><Relationship Type="http://schemas.openxmlformats.org/officeDocument/2006/relationships/hyperlink" Target="https://www.sars.gov.za/wp-content/uploads/Ops/Guides/PAYE-AE-06-G06-Guide-for-Codes-Applicable-to-Employees-Tax-Certificates-2026-External-Guide.pdf" TargetMode="External" Id="rId72" /><Relationship Type="http://schemas.openxmlformats.org/officeDocument/2006/relationships/hyperlink" Target="https://www.sars.gov.za/wp-content/uploads/Ops/Guides/PAYE-AE-06-G06-Guide-for-Codes-Applicable-to-Employees-Tax-Certificates-2026-External-Guide.pdf" TargetMode="External" Id="rId73" /><Relationship Type="http://schemas.openxmlformats.org/officeDocument/2006/relationships/hyperlink" Target="https://www.sars.gov.za/wp-content/uploads/Ops/Guides/PAYE-AE-06-G06-Guide-for-Codes-Applicable-to-Employees-Tax-Certificates-2026-External-Guide.pdf" TargetMode="External" Id="rId74" /><Relationship Type="http://schemas.openxmlformats.org/officeDocument/2006/relationships/hyperlink" Target="https://www.sars.gov.za/wp-content/uploads/Ops/Guides/PAYE-AE-06-G06-Guide-for-Codes-Applicable-to-Employees-Tax-Certificates-2026-External-Guide.pdf" TargetMode="External" Id="rId75" /><Relationship Type="http://schemas.openxmlformats.org/officeDocument/2006/relationships/hyperlink" Target="https://www.sars.gov.za/wp-content/uploads/Ops/Guides/PAYE-AE-06-G06-Guide-for-Codes-Applicable-to-Employees-Tax-Certificates-2026-External-Guide.pdf" TargetMode="External" Id="rId76" /><Relationship Type="http://schemas.openxmlformats.org/officeDocument/2006/relationships/hyperlink" Target="https://www.sars.gov.za/wp-content/uploads/Ops/Guides/PAYE-AE-06-G06-Guide-for-Codes-Applicable-to-Employees-Tax-Certificates-2026-External-Guide.pdf" TargetMode="External" Id="rId77" /><Relationship Type="http://schemas.openxmlformats.org/officeDocument/2006/relationships/hyperlink" Target="https://www.sars.gov.za/wp-content/uploads/Ops/Guides/PAYE-AE-06-G06-Guide-for-Codes-Applicable-to-Employees-Tax-Certificates-2026-External-Guide.pdf" TargetMode="External" Id="rId78" /><Relationship Type="http://schemas.openxmlformats.org/officeDocument/2006/relationships/hyperlink" Target="https://www.sars.gov.za/wp-content/uploads/Ops/Guides/PAYE-AE-06-G06-Guide-for-Codes-Applicable-to-Employees-Tax-Certificates-2026-External-Guide.pdf" TargetMode="External" Id="rId79" /><Relationship Type="http://schemas.openxmlformats.org/officeDocument/2006/relationships/hyperlink" Target="https://www.sars.gov.za/wp-content/uploads/Ops/Guides/PAYE-AE-06-G06-Guide-for-Codes-Applicable-to-Employees-Tax-Certificates-2026-External-Guide.pdf" TargetMode="External" Id="rId80" /><Relationship Type="http://schemas.openxmlformats.org/officeDocument/2006/relationships/hyperlink" Target="https://www.sars.gov.za/wp-content/uploads/Ops/Guides/PAYE-AE-06-G06-Guide-for-Codes-Applicable-to-Employees-Tax-Certificates-2026-External-Guide.pdf" TargetMode="External" Id="rId81" /><Relationship Type="http://schemas.openxmlformats.org/officeDocument/2006/relationships/hyperlink" Target="https://www.sars.gov.za/wp-content/uploads/Ops/Guides/PAYE-AE-06-G06-Guide-for-Codes-Applicable-to-Employees-Tax-Certificates-2026-External-Guide.pdf" TargetMode="External" Id="rId82" /><Relationship Type="http://schemas.openxmlformats.org/officeDocument/2006/relationships/hyperlink" Target="https://www.sars.gov.za/wp-content/uploads/Ops/Guides/PAYE-AE-06-G06-Guide-for-Codes-Applicable-to-Employees-Tax-Certificates-2026-External-Guide.pdf" TargetMode="External" Id="rId83" /><Relationship Type="http://schemas.openxmlformats.org/officeDocument/2006/relationships/hyperlink" Target="https://www.sars.gov.za/wp-content/uploads/Ops/Guides/PAYE-AE-06-G06-Guide-for-Codes-Applicable-to-Employees-Tax-Certificates-2026-External-Guide.pdf" TargetMode="External" Id="rId84" /><Relationship Type="http://schemas.openxmlformats.org/officeDocument/2006/relationships/hyperlink" Target="https://www.sars.gov.za/wp-content/uploads/Ops/Guides/PAYE-AE-06-G06-Guide-for-Codes-Applicable-to-Employees-Tax-Certificates-2026-External-Guide.pdf" TargetMode="External" Id="rId85" /><Relationship Type="http://schemas.openxmlformats.org/officeDocument/2006/relationships/hyperlink" Target="https://www.sars.gov.za/wp-content/uploads/Ops/Guides/PAYE-AE-06-G06-Guide-for-Codes-Applicable-to-Employees-Tax-Certificates-2026-External-Guide.pdf" TargetMode="External" Id="rId86" /><Relationship Type="http://schemas.openxmlformats.org/officeDocument/2006/relationships/hyperlink" Target="https://www.sars.gov.za/wp-content/uploads/Ops/Guides/PAYE-AE-06-G06-Guide-for-Codes-Applicable-to-Employees-Tax-Certificates-2026-External-Guide.pdf" TargetMode="External" Id="rId87" /><Relationship Type="http://schemas.openxmlformats.org/officeDocument/2006/relationships/hyperlink" Target="https://www.sars.gov.za/wp-content/uploads/Ops/Guides/PAYE-AE-06-G06-Guide-for-Codes-Applicable-to-Employees-Tax-Certificates-2026-External-Guide.pdf" TargetMode="External" Id="rId88" /><Relationship Type="http://schemas.openxmlformats.org/officeDocument/2006/relationships/hyperlink" Target="https://www.sars.gov.za/wp-content/uploads/Ops/Guides/PAYE-AE-06-G06-Guide-for-Codes-Applicable-to-Employees-Tax-Certificates-2026-External-Guide.pdf" TargetMode="External" Id="rId89" /><Relationship Type="http://schemas.openxmlformats.org/officeDocument/2006/relationships/hyperlink" Target="https://www.sars.gov.za/wp-content/uploads/Ops/Guides/PAYE-AE-06-G06-Guide-for-Codes-Applicable-to-Employees-Tax-Certificates-2026-External-Guide.pdf" TargetMode="External" Id="rId90" /><Relationship Type="http://schemas.openxmlformats.org/officeDocument/2006/relationships/hyperlink" Target="https://www.sars.gov.za/wp-content/uploads/Ops/Guides/PAYE-AE-06-G06-Guide-for-Codes-Applicable-to-Employees-Tax-Certificates-2026-External-Guide.pdf" TargetMode="External" Id="rId91" /><Relationship Type="http://schemas.openxmlformats.org/officeDocument/2006/relationships/hyperlink" Target="https://www.sars.gov.za/wp-content/uploads/Ops/Guides/PAYE-AE-06-G06-Guide-for-Codes-Applicable-to-Employees-Tax-Certificates-2026-External-Guide.pdf" TargetMode="External" Id="rId92" /><Relationship Type="http://schemas.openxmlformats.org/officeDocument/2006/relationships/hyperlink" Target="https://www.sars.gov.za/wp-content/uploads/Ops/Guides/PAYE-AE-06-G06-Guide-for-Codes-Applicable-to-Employees-Tax-Certificates-2026-External-Guide.pdf" TargetMode="External" Id="rId93" /><Relationship Type="http://schemas.openxmlformats.org/officeDocument/2006/relationships/hyperlink" Target="https://www.sars.gov.za/wp-content/uploads/Ops/Guides/PAYE-AE-06-G06-Guide-for-Codes-Applicable-to-Employees-Tax-Certificates-2026-External-Guide.pdf" TargetMode="External" Id="rId94" /><Relationship Type="http://schemas.openxmlformats.org/officeDocument/2006/relationships/hyperlink" Target="https://www.sars.gov.za/wp-content/uploads/Ops/Guides/PAYE-AE-06-G06-Guide-for-Codes-Applicable-to-Employees-Tax-Certificates-2026-External-Guide.pdf" TargetMode="External" Id="rId95" /><Relationship Type="http://schemas.openxmlformats.org/officeDocument/2006/relationships/hyperlink" Target="https://www.sars.gov.za/wp-content/uploads/Ops/Guides/PAYE-AE-06-G06-Guide-for-Codes-Applicable-to-Employees-Tax-Certificates-2026-External-Guide.pdf" TargetMode="External" Id="rId96" /><Relationship Type="http://schemas.openxmlformats.org/officeDocument/2006/relationships/hyperlink" Target="https://www.sars.gov.za/wp-content/uploads/Ops/Guides/PAYE-AE-06-G06-Guide-for-Codes-Applicable-to-Employees-Tax-Certificates-2026-External-Guide.pdf" TargetMode="External" Id="rId97" /><Relationship Type="http://schemas.openxmlformats.org/officeDocument/2006/relationships/hyperlink" Target="https://www.sars.gov.za/wp-content/uploads/Ops/Guides/PAYE-AE-06-G06-Guide-for-Codes-Applicable-to-Employees-Tax-Certificates-2026-External-Guide.pdf" TargetMode="External" Id="rId98" /><Relationship Type="http://schemas.openxmlformats.org/officeDocument/2006/relationships/hyperlink" Target="https://www.sars.gov.za/wp-content/uploads/Ops/Guides/PAYE-AE-06-G06-Guide-for-Codes-Applicable-to-Employees-Tax-Certificates-2026-External-Guide.pdf" TargetMode="External" Id="rId99" /><Relationship Type="http://schemas.openxmlformats.org/officeDocument/2006/relationships/hyperlink" Target="https://www.sars.gov.za/wp-content/uploads/Ops/Guides/PAYE-AE-06-G06-Guide-for-Codes-Applicable-to-Employees-Tax-Certificates-2026-External-Guide.pdf" TargetMode="External" Id="rId100" /><Relationship Type="http://schemas.openxmlformats.org/officeDocument/2006/relationships/hyperlink" Target="https://www.sars.gov.za/wp-content/uploads/Ops/Guides/PAYE-AE-06-G06-Guide-for-Codes-Applicable-to-Employees-Tax-Certificates-2026-External-Guide.pdf" TargetMode="External" Id="rId101" /><Relationship Type="http://schemas.openxmlformats.org/officeDocument/2006/relationships/hyperlink" Target="https://www.sars.gov.za/wp-content/uploads/Ops/Guides/PAYE-AE-06-G06-Guide-for-Codes-Applicable-to-Employees-Tax-Certificates-2026-External-Guide.pdf" TargetMode="External" Id="rId102" /><Relationship Type="http://schemas.openxmlformats.org/officeDocument/2006/relationships/hyperlink" Target="https://www.sars.gov.za/wp-content/uploads/Ops/Guides/PAYE-AE-06-G06-Guide-for-Codes-Applicable-to-Employees-Tax-Certificates-2026-External-Guide.pdf" TargetMode="External" Id="rId103" /><Relationship Type="http://schemas.openxmlformats.org/officeDocument/2006/relationships/hyperlink" Target="https://www.sars.gov.za/wp-content/uploads/Ops/Guides/PAYE-AE-06-G06-Guide-for-Codes-Applicable-to-Employees-Tax-Certificates-2026-External-Guide.pdf" TargetMode="External" Id="rId104" /><Relationship Type="http://schemas.openxmlformats.org/officeDocument/2006/relationships/hyperlink" Target="https://www.sars.gov.za/wp-content/uploads/Ops/Guides/PAYE-AE-06-G06-Guide-for-Codes-Applicable-to-Employees-Tax-Certificates-2026-External-Guide.pdf" TargetMode="External" Id="rId105" /><Relationship Type="http://schemas.openxmlformats.org/officeDocument/2006/relationships/hyperlink" Target="https://www.sars.gov.za/wp-content/uploads/Ops/Guides/PAYE-AE-06-G06-Guide-for-Codes-Applicable-to-Employees-Tax-Certificates-2026-External-Guide.pdf" TargetMode="External" Id="rId106" /><Relationship Type="http://schemas.openxmlformats.org/officeDocument/2006/relationships/hyperlink" Target="https://www.sars.gov.za/wp-content/uploads/Ops/Guides/PAYE-AE-06-G06-Guide-for-Codes-Applicable-to-Employees-Tax-Certificates-2026-External-Guide.pdf" TargetMode="External" Id="rId107" /><Relationship Type="http://schemas.openxmlformats.org/officeDocument/2006/relationships/hyperlink" Target="https://www.sars.gov.za/wp-content/uploads/Ops/Guides/PAYE-AE-06-G06-Guide-for-Codes-Applicable-to-Employees-Tax-Certificates-2026-External-Guide.pdf" TargetMode="External" Id="rId108" /><Relationship Type="http://schemas.openxmlformats.org/officeDocument/2006/relationships/hyperlink" Target="https://www.sars.gov.za/wp-content/uploads/Ops/Guides/PAYE-AE-06-G06-Guide-for-Codes-Applicable-to-Employees-Tax-Certificates-2026-External-Guide.pdf" TargetMode="External" Id="rId109" /><Relationship Type="http://schemas.openxmlformats.org/officeDocument/2006/relationships/hyperlink" Target="https://www.sars.gov.za/wp-content/uploads/Ops/Guides/PAYE-AE-06-G06-Guide-for-Codes-Applicable-to-Employees-Tax-Certificates-2026-External-Guide.pdf" TargetMode="External" Id="rId110" /><Relationship Type="http://schemas.openxmlformats.org/officeDocument/2006/relationships/hyperlink" Target="https://www.sars.gov.za/wp-content/uploads/Ops/Guides/PAYE-AE-06-G06-Guide-for-Codes-Applicable-to-Employees-Tax-Certificates-2026-External-Guide.pdf" TargetMode="External" Id="rId111" /><Relationship Type="http://schemas.openxmlformats.org/officeDocument/2006/relationships/hyperlink" Target="https://www.sars.gov.za/wp-content/uploads/Ops/Guides/PAYE-AE-06-G06-Guide-for-Codes-Applicable-to-Employees-Tax-Certificates-2026-External-Guide.pdf" TargetMode="External" Id="rId112" /><Relationship Type="http://schemas.openxmlformats.org/officeDocument/2006/relationships/hyperlink" Target="https://www.sars.gov.za/wp-content/uploads/Ops/Guides/PAYE-AE-06-G06-Guide-for-Codes-Applicable-to-Employees-Tax-Certificates-2026-External-Guide.pdf" TargetMode="External" Id="rId113" /><Relationship Type="http://schemas.openxmlformats.org/officeDocument/2006/relationships/hyperlink" Target="https://www.sars.gov.za/wp-content/uploads/Ops/Guides/PAYE-AE-06-G06-Guide-for-Codes-Applicable-to-Employees-Tax-Certificates-2026-External-Guide.pdf" TargetMode="External" Id="rId114" /><Relationship Type="http://schemas.openxmlformats.org/officeDocument/2006/relationships/hyperlink" Target="https://www.sars.gov.za/wp-content/uploads/Ops/Guides/PAYE-AE-06-G06-Guide-for-Codes-Applicable-to-Employees-Tax-Certificates-2026-External-Guide.pdf" TargetMode="External" Id="rId115" /><Relationship Type="http://schemas.openxmlformats.org/officeDocument/2006/relationships/hyperlink" Target="https://www.sars.gov.za/wp-content/uploads/Ops/Guides/PAYE-AE-06-G06-Guide-for-Codes-Applicable-to-Employees-Tax-Certificates-2026-External-Guide.pdf" TargetMode="External" Id="rId116" /><Relationship Type="http://schemas.openxmlformats.org/officeDocument/2006/relationships/hyperlink" Target="https://www.sars.gov.za/wp-content/uploads/Ops/Guides/PAYE-AE-06-G06-Guide-for-Codes-Applicable-to-Employees-Tax-Certificates-2026-External-Guide.pdf" TargetMode="External" Id="rId117" /><Relationship Type="http://schemas.openxmlformats.org/officeDocument/2006/relationships/hyperlink" Target="https://www.sars.gov.za/wp-content/uploads/Ops/Guides/PAYE-AE-06-G06-Guide-for-Codes-Applicable-to-Employees-Tax-Certificates-2026-External-Guide.pdf" TargetMode="External" Id="rId118" /><Relationship Type="http://schemas.openxmlformats.org/officeDocument/2006/relationships/hyperlink" Target="https://www.sars.gov.za/wp-content/uploads/Ops/Guides/PAYE-AE-06-G06-Guide-for-Codes-Applicable-to-Employees-Tax-Certificates-2026-External-Guide.pdf" TargetMode="External" Id="rId119" /><Relationship Type="http://schemas.openxmlformats.org/officeDocument/2006/relationships/hyperlink" Target="https://www.sars.gov.za/wp-content/uploads/Ops/Guides/PAYE-AE-06-G06-Guide-for-Codes-Applicable-to-Employees-Tax-Certificates-2026-External-Guide.pdf" TargetMode="External" Id="rId120" /><Relationship Type="http://schemas.openxmlformats.org/officeDocument/2006/relationships/hyperlink" Target="https://www.sars.gov.za/wp-content/uploads/Ops/Guides/PAYE-AE-06-G06-Guide-for-Codes-Applicable-to-Employees-Tax-Certificates-2026-External-Guide.pdf" TargetMode="External" Id="rId121" /><Relationship Type="http://schemas.openxmlformats.org/officeDocument/2006/relationships/hyperlink" Target="https://www.sars.gov.za/wp-content/uploads/Ops/Guides/PAYE-AE-06-G06-Guide-for-Codes-Applicable-to-Employees-Tax-Certificates-2026-External-Guide.pdf" TargetMode="External" Id="rId122" /><Relationship Type="http://schemas.openxmlformats.org/officeDocument/2006/relationships/hyperlink" Target="https://www.sars.gov.za/wp-content/uploads/Ops/Guides/PAYE-AE-06-G06-Guide-for-Codes-Applicable-to-Employees-Tax-Certificates-2026-External-Guide.pdf" TargetMode="External" Id="rId123" /><Relationship Type="http://schemas.openxmlformats.org/officeDocument/2006/relationships/hyperlink" Target="https://www.sars.gov.za/wp-content/uploads/Ops/Guides/PAYE-AE-06-G06-Guide-for-Codes-Applicable-to-Employees-Tax-Certificates-2026-External-Guide.pdf" TargetMode="External" Id="rId124" /><Relationship Type="http://schemas.openxmlformats.org/officeDocument/2006/relationships/hyperlink" Target="https://www.sars.gov.za/wp-content/uploads/Ops/Guides/PAYE-AE-06-G06-Guide-for-Codes-Applicable-to-Employees-Tax-Certificates-2026-External-Guide.pdf" TargetMode="External" Id="rId125" /><Relationship Type="http://schemas.openxmlformats.org/officeDocument/2006/relationships/hyperlink" Target="https://www.sars.gov.za/wp-content/uploads/Ops/Guides/PAYE-AE-06-G06-Guide-for-Codes-Applicable-to-Employees-Tax-Certificates-2026-External-Guide.pdf" TargetMode="External" Id="rId126" /><Relationship Type="http://schemas.openxmlformats.org/officeDocument/2006/relationships/hyperlink" Target="https://www.sars.gov.za/wp-content/uploads/Ops/Guides/PAYE-AE-06-G06-Guide-for-Codes-Applicable-to-Employees-Tax-Certificates-2026-External-Guide.pdf" TargetMode="External" Id="rId127" /><Relationship Type="http://schemas.openxmlformats.org/officeDocument/2006/relationships/hyperlink" Target="https://www.sars.gov.za/wp-content/uploads/Ops/Guides/PAYE-AE-06-G06-Guide-for-Codes-Applicable-to-Employees-Tax-Certificates-2026-External-Guide.pdf" TargetMode="External" Id="rId128" /><Relationship Type="http://schemas.openxmlformats.org/officeDocument/2006/relationships/hyperlink" Target="https://www.sars.gov.za/wp-content/uploads/Ops/Guides/PAYE-AE-06-G06-Guide-for-Codes-Applicable-to-Employees-Tax-Certificates-2026-External-Guide.pdf" TargetMode="External" Id="rId129" /><Relationship Type="http://schemas.openxmlformats.org/officeDocument/2006/relationships/hyperlink" Target="https://www.sars.gov.za/wp-content/uploads/Ops/Guides/PAYE-AE-06-G06-Guide-for-Codes-Applicable-to-Employees-Tax-Certificates-2026-External-Guide.pdf" TargetMode="External" Id="rId130" /><Relationship Type="http://schemas.openxmlformats.org/officeDocument/2006/relationships/hyperlink" Target="https://www.sars.gov.za/wp-content/uploads/Ops/Guides/PAYE-AE-06-G06-Guide-for-Codes-Applicable-to-Employees-Tax-Certificates-2026-External-Guide.pdf" TargetMode="External" Id="rId131" /><Relationship Type="http://schemas.openxmlformats.org/officeDocument/2006/relationships/hyperlink" Target="https://www.sars.gov.za/wp-content/uploads/Ops/Guides/PAYE-AE-06-G06-Guide-for-Codes-Applicable-to-Employees-Tax-Certificates-2026-External-Guide.pdf" TargetMode="External" Id="rId132" /><Relationship Type="http://schemas.openxmlformats.org/officeDocument/2006/relationships/hyperlink" Target="https://www.sars.gov.za/wp-content/uploads/Ops/Guides/PAYE-AE-06-G06-Guide-for-Codes-Applicable-to-Employees-Tax-Certificates-2026-External-Guide.pdf" TargetMode="External" Id="rId133" /><Relationship Type="http://schemas.openxmlformats.org/officeDocument/2006/relationships/hyperlink" Target="https://www.sars.gov.za/wp-content/uploads/Ops/Guides/PAYE-AE-06-G06-Guide-for-Codes-Applicable-to-Employees-Tax-Certificates-2026-External-Guide.pdf" TargetMode="External" Id="rId134" /><Relationship Type="http://schemas.openxmlformats.org/officeDocument/2006/relationships/hyperlink" Target="https://www.sars.gov.za/wp-content/uploads/Ops/Guides/PAYE-AE-06-G06-Guide-for-Codes-Applicable-to-Employees-Tax-Certificates-2026-External-Guide.pdf" TargetMode="External" Id="rId135" /><Relationship Type="http://schemas.openxmlformats.org/officeDocument/2006/relationships/hyperlink" Target="https://www.sars.gov.za/wp-content/uploads/Ops/Guides/PAYE-AE-06-G06-Guide-for-Codes-Applicable-to-Employees-Tax-Certificates-2026-External-Guide.pdf" TargetMode="External" Id="rId136" /><Relationship Type="http://schemas.openxmlformats.org/officeDocument/2006/relationships/hyperlink" Target="https://www.sars.gov.za/wp-content/uploads/Ops/Guides/PAYE-AE-06-G06-Guide-for-Codes-Applicable-to-Employees-Tax-Certificates-2026-External-Guide.pdf" TargetMode="External" Id="rId137" /><Relationship Type="http://schemas.openxmlformats.org/officeDocument/2006/relationships/hyperlink" Target="https://www.sars.gov.za/wp-content/uploads/Ops/Guides/PAYE-AE-06-G06-Guide-for-Codes-Applicable-to-Employees-Tax-Certificates-2026-External-Guide.pdf" TargetMode="External" Id="rId138" /><Relationship Type="http://schemas.openxmlformats.org/officeDocument/2006/relationships/hyperlink" Target="https://www.sars.gov.za/wp-content/uploads/Ops/Guides/PAYE-AE-06-G06-Guide-for-Codes-Applicable-to-Employees-Tax-Certificates-2026-External-Guide.pdf" TargetMode="External" Id="rId139" /><Relationship Type="http://schemas.openxmlformats.org/officeDocument/2006/relationships/hyperlink" Target="https://www.sars.gov.za/wp-content/uploads/Ops/Guides/PAYE-AE-06-G06-Guide-for-Codes-Applicable-to-Employees-Tax-Certificates-2026-External-Guide.pdf" TargetMode="External" Id="rId140" /><Relationship Type="http://schemas.openxmlformats.org/officeDocument/2006/relationships/hyperlink" Target="https://www.sars.gov.za/wp-content/uploads/Ops/Guides/PAYE-AE-06-G06-Guide-for-Codes-Applicable-to-Employees-Tax-Certificates-2026-External-Guide.pdf" TargetMode="External" Id="rId141" /><Relationship Type="http://schemas.openxmlformats.org/officeDocument/2006/relationships/hyperlink" Target="https://www.sars.gov.za/wp-content/uploads/Ops/Guides/PAYE-AE-06-G06-Guide-for-Codes-Applicable-to-Employees-Tax-Certificates-2026-External-Guide.pdf" TargetMode="External" Id="rId142" /><Relationship Type="http://schemas.openxmlformats.org/officeDocument/2006/relationships/hyperlink" Target="https://www.sars.gov.za/wp-content/uploads/Ops/Guides/PAYE-AE-06-G06-Guide-for-Codes-Applicable-to-Employees-Tax-Certificates-2026-External-Guide.pdf" TargetMode="External" Id="rId143" /><Relationship Type="http://schemas.openxmlformats.org/officeDocument/2006/relationships/hyperlink" Target="https://www.sars.gov.za/wp-content/uploads/Ops/Guides/PAYE-AE-06-G06-Guide-for-Codes-Applicable-to-Employees-Tax-Certificates-2026-External-Guide.pdf" TargetMode="External" Id="rId144" /><Relationship Type="http://schemas.openxmlformats.org/officeDocument/2006/relationships/hyperlink" Target="https://www.sars.gov.za/wp-content/uploads/Ops/Guides/PAYE-AE-06-G06-Guide-for-Codes-Applicable-to-Employees-Tax-Certificates-2026-External-Guide.pdf" TargetMode="External" Id="rId145" /><Relationship Type="http://schemas.openxmlformats.org/officeDocument/2006/relationships/hyperlink" Target="https://www.sars.gov.za/tax-rates/medical-tax-credit-rates/" TargetMode="External" Id="rId146" /><Relationship Type="http://schemas.openxmlformats.org/officeDocument/2006/relationships/hyperlink" Target="https://www.sars.gov.za/tax-rates/medical-tax-credit-rates/" TargetMode="External" Id="rId147" /><Relationship Type="http://schemas.openxmlformats.org/officeDocument/2006/relationships/hyperlink" Target="https://www.sars.gov.za/tax-rates/medical-tax-credit-rates/" TargetMode="External" Id="rId148" /><Relationship Type="http://schemas.openxmlformats.org/officeDocument/2006/relationships/hyperlink" Target="https://www.sars.gov.za/types-of-tax/pay-as-you-earn/" TargetMode="External" Id="rId149" /><Relationship Type="http://schemas.openxmlformats.org/officeDocument/2006/relationships/hyperlink" Target="https://www.sars.gov.za/types-of-tax/pay-as-you-earn/" TargetMode="External" Id="rId150" /><Relationship Type="http://schemas.openxmlformats.org/officeDocument/2006/relationships/hyperlink" Target="https://www.sars.gov.za/types-of-tax/pay-as-you-earn/" TargetMode="External" Id="rId151" /><Relationship Type="http://schemas.openxmlformats.org/officeDocument/2006/relationships/hyperlink" Target="https://www.sars.gov.za/types-of-tax/pay-as-you-earn/" TargetMode="External" Id="rId152" /><Relationship Type="http://schemas.openxmlformats.org/officeDocument/2006/relationships/hyperlink" Target="https://www.sars.gov.za/types-of-tax/pay-as-you-earn/" TargetMode="External" Id="rId153" /><Relationship Type="http://schemas.openxmlformats.org/officeDocument/2006/relationships/hyperlink" Target="https://www.sars.gov.za/types-of-tax/pay-as-you-earn/" TargetMode="External" Id="rId154" /><Relationship Type="http://schemas.openxmlformats.org/officeDocument/2006/relationships/hyperlink" Target="https://www.sars.gov.za/types-of-tax/pay-as-you-earn/" TargetMode="External" Id="rId155" /><Relationship Type="http://schemas.openxmlformats.org/officeDocument/2006/relationships/hyperlink" Target="https://www.sars.gov.za/types-of-tax/pay-as-you-earn/" TargetMode="External" Id="rId156" /><Relationship Type="http://schemas.openxmlformats.org/officeDocument/2006/relationships/hyperlink" Target="https://www.sars.gov.za/types-of-tax/pay-as-you-earn/" TargetMode="External" Id="rId157" /><Relationship Type="http://schemas.openxmlformats.org/officeDocument/2006/relationships/hyperlink" Target="https://www.sars.gov.za/types-of-tax/pay-as-you-earn/" TargetMode="External" Id="rId158" /><Relationship Type="http://schemas.openxmlformats.org/officeDocument/2006/relationships/hyperlink" Target="https://www.sars.gov.za/types-of-tax/pay-as-you-earn/" TargetMode="External" Id="rId159" /><Relationship Type="http://schemas.openxmlformats.org/officeDocument/2006/relationships/hyperlink" Target="https://www.sars.gov.za/types-of-tax/pay-as-you-earn/" TargetMode="External" Id="rId160" /><Relationship Type="http://schemas.openxmlformats.org/officeDocument/2006/relationships/hyperlink" Target="https://www.sars.gov.za/tax-rates/income-tax/rates-of-tax-for-individuals/" TargetMode="External" Id="rId161" /><Relationship Type="http://schemas.openxmlformats.org/officeDocument/2006/relationships/hyperlink" Target="https://www.sars.gov.za/tax-rates/income-tax/rates-of-tax-for-individuals/" TargetMode="External" Id="rId162" /><Relationship Type="http://schemas.openxmlformats.org/officeDocument/2006/relationships/hyperlink" Target="https://www.sars.gov.za/tax-rates/income-tax/rates-of-tax-for-individuals/" TargetMode="External" Id="rId163" /><Relationship Type="http://schemas.openxmlformats.org/officeDocument/2006/relationships/hyperlink" Target="https://www.sars.gov.za/tax-rates/income-tax/rates-of-tax-for-individuals/" TargetMode="External" Id="rId164" /><Relationship Type="http://schemas.openxmlformats.org/officeDocument/2006/relationships/hyperlink" Target="https://www.sars.gov.za/tax-rates/income-tax/rates-of-tax-for-individuals/" TargetMode="External" Id="rId165" /><Relationship Type="http://schemas.openxmlformats.org/officeDocument/2006/relationships/hyperlink" Target="https://www.sars.gov.za/tax-rates/income-tax/rates-of-tax-for-individuals/" TargetMode="External" Id="rId166" /><Relationship Type="http://schemas.openxmlformats.org/officeDocument/2006/relationships/hyperlink" Target="https://www.sars.gov.za/tax-rates/income-tax/rates-of-tax-for-individuals/" TargetMode="External" Id="rId167" /><Relationship Type="http://schemas.openxmlformats.org/officeDocument/2006/relationships/hyperlink" Target="https://www.sars.gov.za/tax-rates/income-tax/rates-of-tax-for-individuals/" TargetMode="External" Id="rId168" /><Relationship Type="http://schemas.openxmlformats.org/officeDocument/2006/relationships/hyperlink" Target="https://www.sars.gov.za/tax-rates/income-tax/rates-of-tax-for-individuals/" TargetMode="External" Id="rId169" /><Relationship Type="http://schemas.openxmlformats.org/officeDocument/2006/relationships/hyperlink" Target="https://www.sars.gov.za/tax-rates/income-tax/rates-of-tax-for-individuals/" TargetMode="External" Id="rId170" /><Relationship Type="http://schemas.openxmlformats.org/officeDocument/2006/relationships/hyperlink" Target="https://www.sars.gov.za/tax-rates/income-tax/rates-of-tax-for-individuals/" TargetMode="External" Id="rId171" /><Relationship Type="http://schemas.openxmlformats.org/officeDocument/2006/relationships/hyperlink" Target="https://www.sars.gov.za/tax-rates/income-tax/rates-of-tax-for-individuals/" TargetMode="External" Id="rId172" /><Relationship Type="http://schemas.openxmlformats.org/officeDocument/2006/relationships/hyperlink" Target="https://www.sars.gov.za/tax-rates/income-tax/rates-of-tax-for-individuals/" TargetMode="External" Id="rId173" /><Relationship Type="http://schemas.openxmlformats.org/officeDocument/2006/relationships/hyperlink" Target="https://www.sars.gov.za/tax-rates/income-tax/rates-of-tax-for-individuals/" TargetMode="External" Id="rId174" /><Relationship Type="http://schemas.openxmlformats.org/officeDocument/2006/relationships/hyperlink" Target="https://www.sars.gov.za/tax-rates/income-tax/rates-of-tax-for-individuals/" TargetMode="External" Id="rId175" /><Relationship Type="http://schemas.openxmlformats.org/officeDocument/2006/relationships/hyperlink" Target="https://www.sars.gov.za/tax-rates/income-tax/rates-of-tax-for-individuals/" TargetMode="External" Id="rId176" /><Relationship Type="http://schemas.openxmlformats.org/officeDocument/2006/relationships/hyperlink" Target="https://www.sars.gov.za/tax-rates/income-tax/rates-of-tax-for-individuals/" TargetMode="External" Id="rId177" /><Relationship Type="http://schemas.openxmlformats.org/officeDocument/2006/relationships/hyperlink" Target="https://www.sars.gov.za/tax-rates/income-tax/rates-of-tax-for-individuals/" TargetMode="External" Id="rId178" /><Relationship Type="http://schemas.openxmlformats.org/officeDocument/2006/relationships/hyperlink" Target="https://www.sars.gov.za/tax-rates/income-tax/rates-of-tax-for-individuals/" TargetMode="External" Id="rId179" /><Relationship Type="http://schemas.openxmlformats.org/officeDocument/2006/relationships/hyperlink" Target="https://www.sars.gov.za/tax-rates/income-tax/rates-of-tax-for-individuals/" TargetMode="External" Id="rId180" /><Relationship Type="http://schemas.openxmlformats.org/officeDocument/2006/relationships/hyperlink" Target="https://www.sars.gov.za/tax-rates/income-tax/rates-of-tax-for-individuals/" TargetMode="External" Id="rId181" /><Relationship Type="http://schemas.openxmlformats.org/officeDocument/2006/relationships/hyperlink" Target="https://www.sars.gov.za/tax-rates/income-tax/rates-of-tax-for-individuals/" TargetMode="External" Id="rId182" /><Relationship Type="http://schemas.openxmlformats.org/officeDocument/2006/relationships/hyperlink" Target="https://www.sars.gov.za/tax-rates/income-tax/rates-of-tax-for-individuals/" TargetMode="External" Id="rId183" /><Relationship Type="http://schemas.openxmlformats.org/officeDocument/2006/relationships/hyperlink" Target="https://www.sars.gov.za/tax-rates/income-tax/rates-of-tax-for-individuals/" TargetMode="External" Id="rId184" /><Relationship Type="http://schemas.openxmlformats.org/officeDocument/2006/relationships/hyperlink" Target="https://www.sars.gov.za/tax-rates/income-tax/rates-of-tax-for-individuals/" TargetMode="External" Id="rId185" /><Relationship Type="http://schemas.openxmlformats.org/officeDocument/2006/relationships/hyperlink" Target="https://www.sars.gov.za/tax-rates/income-tax/rates-of-tax-for-individuals/" TargetMode="External" Id="rId186" /><Relationship Type="http://schemas.openxmlformats.org/officeDocument/2006/relationships/hyperlink" Target="https://www.sars.gov.za/tax-rates/income-tax/rates-of-tax-for-individuals/" TargetMode="External" Id="rId187" /><Relationship Type="http://schemas.openxmlformats.org/officeDocument/2006/relationships/hyperlink" Target="https://www.sars.gov.za/tax-rates/income-tax/rates-of-tax-for-individuals/" TargetMode="External" Id="rId188" /><Relationship Type="http://schemas.openxmlformats.org/officeDocument/2006/relationships/hyperlink" Target="https://www.sars.gov.za/tax-rates/income-tax/rates-of-tax-for-individuals/" TargetMode="External" Id="rId189" /><Relationship Type="http://schemas.openxmlformats.org/officeDocument/2006/relationships/hyperlink" Target="https://www.sars.gov.za/tax-rates/income-tax/rates-of-tax-for-individuals/" TargetMode="External" Id="rId190" /><Relationship Type="http://schemas.openxmlformats.org/officeDocument/2006/relationships/hyperlink" Target="https://www.sars.gov.za/tax-rates/income-tax/rates-of-tax-for-individuals/" TargetMode="External" Id="rId191" /><Relationship Type="http://schemas.openxmlformats.org/officeDocument/2006/relationships/hyperlink" Target="https://www.sars.gov.za/tax-rates/income-tax/rates-of-tax-for-individuals/" TargetMode="External" Id="rId192" /><Relationship Type="http://schemas.openxmlformats.org/officeDocument/2006/relationships/hyperlink" Target="https://www.sars.gov.za/tax-rates/income-tax/rates-of-tax-for-individuals/" TargetMode="External" Id="rId193" /><Relationship Type="http://schemas.openxmlformats.org/officeDocument/2006/relationships/hyperlink" Target="https://www.sars.gov.za/tax-rates/income-tax/rates-of-tax-for-individuals/" TargetMode="External" Id="rId194" /><Relationship Type="http://schemas.openxmlformats.org/officeDocument/2006/relationships/hyperlink" Target="https://www.sars.gov.za/tax-rates/income-tax/rates-of-tax-for-individuals/" TargetMode="External" Id="rId195" /><Relationship Type="http://schemas.openxmlformats.org/officeDocument/2006/relationships/hyperlink" Target="https://www.sars.gov.za/tax-rates/income-tax/rates-of-tax-for-individuals/" TargetMode="External" Id="rId196" /><Relationship Type="http://schemas.openxmlformats.org/officeDocument/2006/relationships/hyperlink" Target="https://collections.concourt.org.za/handle/20.500.12144/38507" TargetMode="External" Id="rId197" /><Relationship Type="http://schemas.openxmlformats.org/officeDocument/2006/relationships/hyperlink" Target="https://collections.concourt.org.za/handle/20.500.12144/38507" TargetMode="External" Id="rId198" /><Relationship Type="http://schemas.openxmlformats.org/officeDocument/2006/relationships/hyperlink" Target="https://collections.concourt.org.za/handle/20.500.12144/38507" TargetMode="External" Id="rId199" /><Relationship Type="http://schemas.openxmlformats.org/officeDocument/2006/relationships/hyperlink" Target="https://collections.concourt.org.za/handle/20.500.12144/38507" TargetMode="External" Id="rId200" /><Relationship Type="http://schemas.openxmlformats.org/officeDocument/2006/relationships/hyperlink" Target="https://collections.concourt.org.za/handle/20.500.12144/38507" TargetMode="External" Id="rId201" /><Relationship Type="http://schemas.openxmlformats.org/officeDocument/2006/relationships/hyperlink" Target="https://collections.concourt.org.za/handle/20.500.12144/38507" TargetMode="External" Id="rId202" /><Relationship Type="http://schemas.openxmlformats.org/officeDocument/2006/relationships/hyperlink" Target="https://collections.concourt.org.za/handle/20.500.12144/38507" TargetMode="External" Id="rId203" /></Relationships>
</file>

<file path=xl/worksheets/sheet1.xml><?xml version="1.0" encoding="utf-8"?>
<worksheet xmlns="http://schemas.openxmlformats.org/spreadsheetml/2006/main">
  <sheetPr>
    <outlinePr summaryBelow="1" summaryRight="1"/>
    <pageSetUpPr/>
  </sheetPr>
  <dimension ref="A1:G48"/>
  <sheetViews>
    <sheetView workbookViewId="0">
      <pane ySplit="5" topLeftCell="A6" activePane="bottomLeft" state="frozen"/>
      <selection pane="bottomLeft" activeCell="A1" sqref="A1"/>
    </sheetView>
  </sheetViews>
  <sheetFormatPr baseColWidth="8" defaultRowHeight="15"/>
  <cols>
    <col width="62" customWidth="1" min="1" max="1"/>
    <col width="18" customWidth="1" min="2" max="2"/>
    <col width="18" customWidth="1" min="3" max="3"/>
    <col width="18" customWidth="1" min="4" max="4"/>
    <col width="18" customWidth="1" min="5" max="5"/>
    <col width="18" customWidth="1" min="6" max="6"/>
    <col width="40" customWidth="1" min="7" max="7"/>
  </cols>
  <sheetData>
    <row r="1">
      <c r="A1" s="1" t="inlineStr">
        <is>
          <t>Labourmax-HR statutory verification</t>
        </is>
      </c>
    </row>
    <row r="2">
      <c r="A2" s="2" t="inlineStr">
        <is>
          <t>THIS WORKBOOK IS A WORK AID AND NEVER A SOURCE OF TRUTH. The fixtures in reference/ are the loaded data and docs/DECISIONS.md is the register; importverification records that a figure was checked and can never change one.</t>
        </is>
      </c>
    </row>
    <row r="4">
      <c r="A4" s="3" t="inlineStr">
        <is>
          <t>By source document</t>
        </is>
      </c>
    </row>
    <row r="5">
      <c r="A5" s="4" t="inlineStr">
        <is>
          <t>Source document</t>
        </is>
      </c>
      <c r="B5" s="4" t="inlineStr">
        <is>
          <t>Figures</t>
        </is>
      </c>
      <c r="C5" s="4" t="inlineStr">
        <is>
          <t>Checked</t>
        </is>
      </c>
      <c r="D5" s="4" t="inlineStr">
        <is>
          <t>Queried</t>
        </is>
      </c>
      <c r="E5" s="4" t="inlineStr">
        <is>
          <t>Outstanding</t>
        </is>
      </c>
    </row>
    <row r="6">
      <c r="A6" s="5" t="inlineStr">
        <is>
          <t>BCCCI (KwaZulu-Natal) Main Collective Agreement, GN R.7296 in GG 54412, 27 March 2026</t>
        </is>
      </c>
      <c r="B6" t="n">
        <v>23</v>
      </c>
      <c r="C6">
        <f>COUNTIFS(Figures!$A:$A,$A6,Figures!$K:$K,"Y")</f>
        <v/>
      </c>
      <c r="D6">
        <f>COUNTIFS(Figures!$A:$A,$A6,Figures!$K:$K,"QUERY")</f>
        <v/>
      </c>
      <c r="E6">
        <f>$B6-$C6-$D6</f>
        <v/>
      </c>
    </row>
    <row r="7">
      <c r="A7" s="5" t="inlineStr">
        <is>
          <t>Bargaining Council for the Contract Cleaning Services Industry (KwaZulu-Natal) Main Collective Agreement, GN R.7296 in Government Gazette 54412, 27 March 2026</t>
        </is>
      </c>
      <c r="B7" t="n">
        <v>67</v>
      </c>
      <c r="C7">
        <f>COUNTIFS(Figures!$A:$A,$A7,Figures!$K:$K,"Y")</f>
        <v/>
      </c>
      <c r="D7">
        <f>COUNTIFS(Figures!$A:$A,$A7,Figures!$K:$K,"QUERY")</f>
        <v/>
      </c>
      <c r="E7">
        <f>$B7-$C7-$D7</f>
        <v/>
      </c>
    </row>
    <row r="8">
      <c r="A8" s="5" t="inlineStr">
        <is>
          <t>Basic Conditions of Employment Act 75 of 1997</t>
        </is>
      </c>
      <c r="B8" t="n">
        <v>86</v>
      </c>
      <c r="C8">
        <f>COUNTIFS(Figures!$A:$A,$A8,Figures!$K:$K,"Y")</f>
        <v/>
      </c>
      <c r="D8">
        <f>COUNTIFS(Figures!$A:$A,$A8,Figures!$K:$K,"QUERY")</f>
        <v/>
      </c>
      <c r="E8">
        <f>$B8-$C8-$D8</f>
        <v/>
      </c>
    </row>
    <row r="9">
      <c r="A9" s="5" t="inlineStr">
        <is>
          <t>Compensation Fund maximum amount of earnings, 2026/2027 assessment year (1 March 2026 - 28 February 2027)</t>
        </is>
      </c>
      <c r="B9" t="n">
        <v>2</v>
      </c>
      <c r="C9">
        <f>COUNTIFS(Figures!$A:$A,$A9,Figures!$K:$K,"Y")</f>
        <v/>
      </c>
      <c r="D9">
        <f>COUNTIFS(Figures!$A:$A,$A9,Figures!$K:$K,"QUERY")</f>
        <v/>
      </c>
      <c r="E9">
        <f>$B9-$C9-$D9</f>
        <v/>
      </c>
    </row>
    <row r="10">
      <c r="A10" s="5" t="inlineStr">
        <is>
          <t>Determination under s6(2) of the Unemployment Insurance Contributions Act 4 of 2002, Government Gazette 44641 of 28 May 2021, effective 1 June 2021</t>
        </is>
      </c>
      <c r="B10" t="n">
        <v>2</v>
      </c>
      <c r="C10">
        <f>COUNTIFS(Figures!$A:$A,$A10,Figures!$K:$K,"Y")</f>
        <v/>
      </c>
      <c r="D10">
        <f>COUNTIFS(Figures!$A:$A,$A10,Figures!$K:$K,"QUERY")</f>
        <v/>
      </c>
      <c r="E10">
        <f>$B10-$C10-$D10</f>
        <v/>
      </c>
    </row>
    <row r="11">
      <c r="A11" s="5" t="inlineStr">
        <is>
          <t>GN 5970, GG 52232, March 2025 (Basic Conditions of Employment Act 75 of 1997, s6(3))</t>
        </is>
      </c>
      <c r="B11" t="n">
        <v>2</v>
      </c>
      <c r="C11">
        <f>COUNTIFS(Figures!$A:$A,$A11,Figures!$K:$K,"Y")</f>
        <v/>
      </c>
      <c r="D11">
        <f>COUNTIFS(Figures!$A:$A,$A11,Figures!$K:$K,"QUERY")</f>
        <v/>
      </c>
      <c r="E11">
        <f>$B11-$C11-$D11</f>
        <v/>
      </c>
    </row>
    <row r="12">
      <c r="A12" s="5" t="inlineStr">
        <is>
          <t>GN 7384, GG 54544, 17 April 2026 (Basic Conditions of Employment Act 75 of 1997, s6(3))</t>
        </is>
      </c>
      <c r="B12" t="n">
        <v>2</v>
      </c>
      <c r="C12">
        <f>COUNTIFS(Figures!$A:$A,$A12,Figures!$K:$K,"Y")</f>
        <v/>
      </c>
      <c r="D12">
        <f>COUNTIFS(Figures!$A:$A,$A12,Figures!$K:$K,"QUERY")</f>
        <v/>
      </c>
      <c r="E12">
        <f>$B12-$C12-$D12</f>
        <v/>
      </c>
    </row>
    <row r="13">
      <c r="A13" s="5" t="inlineStr">
        <is>
          <t>GN R.7083, GG 54075, 3 February 2026 (National Minimum Wage Act 9 of 2018)</t>
        </is>
      </c>
      <c r="B13" t="n">
        <v>8</v>
      </c>
      <c r="C13">
        <f>COUNTIFS(Figures!$A:$A,$A13,Figures!$K:$K,"Y")</f>
        <v/>
      </c>
      <c r="D13">
        <f>COUNTIFS(Figures!$A:$A,$A13,Figures!$K:$K,"QUERY")</f>
        <v/>
      </c>
      <c r="E13">
        <f>$B13-$C13-$D13</f>
        <v/>
      </c>
    </row>
    <row r="14">
      <c r="A14" s="5" t="inlineStr">
        <is>
          <t>Public Holidays Act 36 of 1994</t>
        </is>
      </c>
      <c r="B14" t="n">
        <v>75</v>
      </c>
      <c r="C14">
        <f>COUNTIFS(Figures!$A:$A,$A14,Figures!$K:$K,"Y")</f>
        <v/>
      </c>
      <c r="D14">
        <f>COUNTIFS(Figures!$A:$A,$A14,Figures!$K:$K,"QUERY")</f>
        <v/>
      </c>
      <c r="E14">
        <f>$B14-$C14-$D14</f>
        <v/>
      </c>
    </row>
    <row r="15">
      <c r="A15" s="5" t="inlineStr">
        <is>
          <t>SARS Guide for Codes Applicable to Employees Tax Certificates (PAYE-AE-06-G06), 2026 issue</t>
        </is>
      </c>
      <c r="B15" t="n">
        <v>114</v>
      </c>
      <c r="C15">
        <f>COUNTIFS(Figures!$A:$A,$A15,Figures!$K:$K,"Y")</f>
        <v/>
      </c>
      <c r="D15">
        <f>COUNTIFS(Figures!$A:$A,$A15,Figures!$K:$K,"QUERY")</f>
        <v/>
      </c>
      <c r="E15">
        <f>$B15-$C15-$D15</f>
        <v/>
      </c>
    </row>
    <row r="16">
      <c r="A16" s="5" t="inlineStr">
        <is>
          <t>SARS Medical Tax Credit Rates, 2027 tax year (1 March 2026 - 28 February 2027)</t>
        </is>
      </c>
      <c r="B16" t="n">
        <v>3</v>
      </c>
      <c r="C16">
        <f>COUNTIFS(Figures!$A:$A,$A16,Figures!$K:$K,"Y")</f>
        <v/>
      </c>
      <c r="D16">
        <f>COUNTIFS(Figures!$A:$A,$A16,Figures!$K:$K,"QUERY")</f>
        <v/>
      </c>
      <c r="E16">
        <f>$B16-$C16-$D16</f>
        <v/>
      </c>
    </row>
    <row r="17">
      <c r="A17" s="5" t="inlineStr">
        <is>
          <t>SARS PAYE-AE-06-G06, Guide for Codes Applicable to Employees Tax Certificates 2026, revision 13, effective 19 September 2025</t>
        </is>
      </c>
      <c r="B17" t="n">
        <v>12</v>
      </c>
      <c r="C17">
        <f>COUNTIFS(Figures!$A:$A,$A17,Figures!$K:$K,"Y")</f>
        <v/>
      </c>
      <c r="D17">
        <f>COUNTIFS(Figures!$A:$A,$A17,Figures!$K:$K,"QUERY")</f>
        <v/>
      </c>
      <c r="E17">
        <f>$B17-$C17-$D17</f>
        <v/>
      </c>
    </row>
    <row r="18">
      <c r="A18" s="5" t="inlineStr">
        <is>
          <t>SARS Rates of Tax for Individuals, 2027 tax year (1 March 2026 - 28 February 2027)</t>
        </is>
      </c>
      <c r="B18" t="n">
        <v>36</v>
      </c>
      <c r="C18">
        <f>COUNTIFS(Figures!$A:$A,$A18,Figures!$K:$K,"Y")</f>
        <v/>
      </c>
      <c r="D18">
        <f>COUNTIFS(Figures!$A:$A,$A18,Figures!$K:$K,"QUERY")</f>
        <v/>
      </c>
      <c r="E18">
        <f>$B18-$C18-$D18</f>
        <v/>
      </c>
    </row>
    <row r="19">
      <c r="A19" s="5" t="inlineStr">
        <is>
          <t>Sectoral Determination 1: Contract Cleaning Sector, current consolidated text (clauses 3, 8-24)</t>
        </is>
      </c>
      <c r="B19" t="n">
        <v>67</v>
      </c>
      <c r="C19">
        <f>COUNTIFS(Figures!$A:$A,$A19,Figures!$K:$K,"Y")</f>
        <v/>
      </c>
      <c r="D19">
        <f>COUNTIFS(Figures!$A:$A,$A19,Figures!$K:$K,"QUERY")</f>
        <v/>
      </c>
      <c r="E19">
        <f>$B19-$C19-$D19</f>
        <v/>
      </c>
    </row>
    <row r="20">
      <c r="A20" s="5" t="inlineStr">
        <is>
          <t>Sectoral Determination 7: Domestic Worker Sector, published in Regulation Gazette No. 7434 (consolidated text)</t>
        </is>
      </c>
      <c r="B20" t="n">
        <v>66</v>
      </c>
      <c r="C20">
        <f>COUNTIFS(Figures!$A:$A,$A20,Figures!$K:$K,"Y")</f>
        <v/>
      </c>
      <c r="D20">
        <f>COUNTIFS(Figures!$A:$A,$A20,Figures!$K:$K,"QUERY")</f>
        <v/>
      </c>
      <c r="E20">
        <f>$B20-$C20-$D20</f>
        <v/>
      </c>
    </row>
    <row r="21">
      <c r="A21" s="5" t="inlineStr">
        <is>
          <t>Skills Development Levies Act 9 of 1999</t>
        </is>
      </c>
      <c r="B21" t="n">
        <v>4</v>
      </c>
      <c r="C21">
        <f>COUNTIFS(Figures!$A:$A,$A21,Figures!$K:$K,"Y")</f>
        <v/>
      </c>
      <c r="D21">
        <f>COUNTIFS(Figures!$A:$A,$A21,Figures!$K:$K,"QUERY")</f>
        <v/>
      </c>
      <c r="E21">
        <f>$B21-$C21-$D21</f>
        <v/>
      </c>
    </row>
    <row r="22">
      <c r="A22" s="5" t="inlineStr">
        <is>
          <t>Unemployment Insurance Contributions Act 4 of 2002</t>
        </is>
      </c>
      <c r="B22" t="n">
        <v>4</v>
      </c>
      <c r="C22">
        <f>COUNTIFS(Figures!$A:$A,$A22,Figures!$K:$K,"Y")</f>
        <v/>
      </c>
      <c r="D22">
        <f>COUNTIFS(Figures!$A:$A,$A22,Figures!$K:$K,"QUERY")</f>
        <v/>
      </c>
      <c r="E22">
        <f>$B22-$C22-$D22</f>
        <v/>
      </c>
    </row>
    <row r="23">
      <c r="A23" s="5" t="inlineStr">
        <is>
          <t>Value-Added Tax Act 89 of 1991</t>
        </is>
      </c>
      <c r="B23" t="n">
        <v>2</v>
      </c>
      <c r="C23">
        <f>COUNTIFS(Figures!$A:$A,$A23,Figures!$K:$K,"Y")</f>
        <v/>
      </c>
      <c r="D23">
        <f>COUNTIFS(Figures!$A:$A,$A23,Figures!$K:$K,"QUERY")</f>
        <v/>
      </c>
      <c r="E23">
        <f>$B23-$C23-$D23</f>
        <v/>
      </c>
    </row>
    <row r="24">
      <c r="A24" s="5" t="inlineStr">
        <is>
          <t>Van Wyk v Minister of Employment and Labour (CCT 308/23) [2025] ZACC 20 (3 October 2025)</t>
        </is>
      </c>
      <c r="B24" t="n">
        <v>7</v>
      </c>
      <c r="C24">
        <f>COUNTIFS(Figures!$A:$A,$A24,Figures!$K:$K,"Y")</f>
        <v/>
      </c>
      <c r="D24">
        <f>COUNTIFS(Figures!$A:$A,$A24,Figures!$K:$K,"QUERY")</f>
        <v/>
      </c>
      <c r="E24">
        <f>$B24-$C24-$D24</f>
        <v/>
      </c>
    </row>
    <row r="25">
      <c r="A25" s="6" t="inlineStr">
        <is>
          <t>TOTAL</t>
        </is>
      </c>
      <c r="B25" s="6" t="n">
        <v>582</v>
      </c>
      <c r="C25" s="6">
        <f>SUM(C6:C24)</f>
        <v/>
      </c>
      <c r="D25" s="6">
        <f>SUM(D6:D24)</f>
        <v/>
      </c>
      <c r="E25" s="6">
        <f>SUM(E6:E24)</f>
        <v/>
      </c>
    </row>
    <row r="27">
      <c r="A27" s="3" t="inlineStr">
        <is>
          <t>By reference version</t>
        </is>
      </c>
    </row>
    <row r="28">
      <c r="A28" s="4" t="inlineStr">
        <is>
          <t>Reference version</t>
        </is>
      </c>
      <c r="B28" s="4" t="inlineStr">
        <is>
          <t>Figures</t>
        </is>
      </c>
      <c r="C28" s="4" t="inlineStr">
        <is>
          <t>Checked</t>
        </is>
      </c>
      <c r="D28" s="4" t="inlineStr">
        <is>
          <t>Queried</t>
        </is>
      </c>
      <c r="E28" s="4" t="inlineStr">
        <is>
          <t>Verified?</t>
        </is>
      </c>
      <c r="F28" s="4" t="inlineStr">
        <is>
          <t>Loaded by</t>
        </is>
      </c>
      <c r="G28" s="4" t="inlineStr">
        <is>
          <t>barkofs@gmail.com may verify?</t>
        </is>
      </c>
    </row>
    <row r="29">
      <c r="A29" t="inlineStr">
        <is>
          <t>REF-2026.03.01-BANKS</t>
        </is>
      </c>
      <c r="B29" t="n">
        <v>0</v>
      </c>
      <c r="C29">
        <f>COUNTIFS(Figures!$D:$D,$A29,Figures!$K:$K,"Y")</f>
        <v/>
      </c>
      <c r="D29">
        <f>COUNTIFS(Figures!$D:$D,$A29,Figures!$K:$K,"QUERY")</f>
        <v/>
      </c>
      <c r="E29" t="inlineStr">
        <is>
          <t>NOT verified</t>
        </is>
      </c>
      <c r="F29" t="inlineStr">
        <is>
          <t>dev-loader@labourmax.invalid</t>
        </is>
      </c>
      <c r="G29" t="inlineStr">
        <is>
          <t>yes</t>
        </is>
      </c>
    </row>
    <row r="30">
      <c r="A30" t="inlineStr">
        <is>
          <t>REF-2026.03.01-CODES</t>
        </is>
      </c>
      <c r="B30" t="n">
        <v>114</v>
      </c>
      <c r="C30">
        <f>COUNTIFS(Figures!$D:$D,$A30,Figures!$K:$K,"Y")</f>
        <v/>
      </c>
      <c r="D30">
        <f>COUNTIFS(Figures!$D:$D,$A30,Figures!$K:$K,"QUERY")</f>
        <v/>
      </c>
      <c r="E30" t="inlineStr">
        <is>
          <t>NOT verified</t>
        </is>
      </c>
      <c r="F30" t="inlineStr">
        <is>
          <t>dev-loader@labourmax.invalid</t>
        </is>
      </c>
      <c r="G30" t="inlineStr">
        <is>
          <t>yes</t>
        </is>
      </c>
    </row>
    <row r="31">
      <c r="A31" t="inlineStr">
        <is>
          <t>REF-2026.03.01-EMPLOYMENT</t>
        </is>
      </c>
      <c r="B31" t="n">
        <v>2</v>
      </c>
      <c r="C31">
        <f>COUNTIFS(Figures!$D:$D,$A31,Figures!$K:$K,"Y")</f>
        <v/>
      </c>
      <c r="D31">
        <f>COUNTIFS(Figures!$D:$D,$A31,Figures!$K:$K,"QUERY")</f>
        <v/>
      </c>
      <c r="E31" t="inlineStr">
        <is>
          <t>NOT verified</t>
        </is>
      </c>
      <c r="F31" t="inlineStr">
        <is>
          <t>dev-loader@labourmax.invalid</t>
        </is>
      </c>
      <c r="G31" t="inlineStr">
        <is>
          <t>yes</t>
        </is>
      </c>
    </row>
    <row r="32">
      <c r="A32" t="inlineStr">
        <is>
          <t>REF-2026.03.01-LEAVE</t>
        </is>
      </c>
      <c r="B32" t="n">
        <v>2</v>
      </c>
      <c r="C32">
        <f>COUNTIFS(Figures!$D:$D,$A32,Figures!$K:$K,"Y")</f>
        <v/>
      </c>
      <c r="D32">
        <f>COUNTIFS(Figures!$D:$D,$A32,Figures!$K:$K,"QUERY")</f>
        <v/>
      </c>
      <c r="E32" t="inlineStr">
        <is>
          <t>NOT verified</t>
        </is>
      </c>
      <c r="F32" t="inlineStr">
        <is>
          <t>dev-loader@labourmax.invalid</t>
        </is>
      </c>
      <c r="G32" t="inlineStr">
        <is>
          <t>yes</t>
        </is>
      </c>
    </row>
    <row r="33">
      <c r="A33" t="inlineStr">
        <is>
          <t>REF-2026.03.01-LEAVE-PAY</t>
        </is>
      </c>
      <c r="B33" t="n">
        <v>2</v>
      </c>
      <c r="C33">
        <f>COUNTIFS(Figures!$D:$D,$A33,Figures!$K:$K,"Y")</f>
        <v/>
      </c>
      <c r="D33">
        <f>COUNTIFS(Figures!$D:$D,$A33,Figures!$K:$K,"QUERY")</f>
        <v/>
      </c>
      <c r="E33" t="inlineStr">
        <is>
          <t>NOT verified</t>
        </is>
      </c>
      <c r="F33" t="inlineStr">
        <is>
          <t>dev-loader@labourmax.invalid</t>
        </is>
      </c>
      <c r="G33" t="inlineStr">
        <is>
          <t>yes</t>
        </is>
      </c>
    </row>
    <row r="34">
      <c r="A34" t="inlineStr">
        <is>
          <t>REF-2026.03.01-LUMPSUM</t>
        </is>
      </c>
      <c r="B34" t="n">
        <v>12</v>
      </c>
      <c r="C34">
        <f>COUNTIFS(Figures!$D:$D,$A34,Figures!$K:$K,"Y")</f>
        <v/>
      </c>
      <c r="D34">
        <f>COUNTIFS(Figures!$D:$D,$A34,Figures!$K:$K,"QUERY")</f>
        <v/>
      </c>
      <c r="E34" t="inlineStr">
        <is>
          <t>NOT verified</t>
        </is>
      </c>
      <c r="F34" t="inlineStr">
        <is>
          <t>dev-loader@labourmax.invalid</t>
        </is>
      </c>
      <c r="G34" t="inlineStr">
        <is>
          <t>yes</t>
        </is>
      </c>
    </row>
    <row r="35">
      <c r="A35" t="inlineStr">
        <is>
          <t>REF-2026.03.01-NOTICE-BANDS-3</t>
        </is>
      </c>
      <c r="B35" t="n">
        <v>54</v>
      </c>
      <c r="C35">
        <f>COUNTIFS(Figures!$D:$D,$A35,Figures!$K:$K,"Y")</f>
        <v/>
      </c>
      <c r="D35">
        <f>COUNTIFS(Figures!$D:$D,$A35,Figures!$K:$K,"QUERY")</f>
        <v/>
      </c>
      <c r="E35" t="inlineStr">
        <is>
          <t>NOT verified</t>
        </is>
      </c>
      <c r="F35" t="inlineStr">
        <is>
          <t>dev-loader@labourmax.invalid</t>
        </is>
      </c>
      <c r="G35" t="inlineStr">
        <is>
          <t>yes</t>
        </is>
      </c>
    </row>
    <row r="36">
      <c r="A36" t="inlineStr">
        <is>
          <t>REF-2026.03.01-PARENTAL-2</t>
        </is>
      </c>
      <c r="B36" t="n">
        <v>7</v>
      </c>
      <c r="C36">
        <f>COUNTIFS(Figures!$D:$D,$A36,Figures!$K:$K,"Y")</f>
        <v/>
      </c>
      <c r="D36">
        <f>COUNTIFS(Figures!$D:$D,$A36,Figures!$K:$K,"QUERY")</f>
        <v/>
      </c>
      <c r="E36" t="inlineStr">
        <is>
          <t>NOT verified</t>
        </is>
      </c>
      <c r="F36" t="inlineStr">
        <is>
          <t>dev-loader@labourmax.invalid</t>
        </is>
      </c>
      <c r="G36" t="inlineStr">
        <is>
          <t>yes</t>
        </is>
      </c>
    </row>
    <row r="37">
      <c r="A37" t="inlineStr">
        <is>
          <t>REF-2026.03.01-r2</t>
        </is>
      </c>
      <c r="B37" t="n">
        <v>140</v>
      </c>
      <c r="C37">
        <f>COUNTIFS(Figures!$D:$D,$A37,Figures!$K:$K,"Y")</f>
        <v/>
      </c>
      <c r="D37">
        <f>COUNTIFS(Figures!$D:$D,$A37,Figures!$K:$K,"QUERY")</f>
        <v/>
      </c>
      <c r="E37" t="inlineStr">
        <is>
          <t>NOT verified</t>
        </is>
      </c>
      <c r="F37" t="inlineStr">
        <is>
          <t>dev-loader@labourmax.invalid</t>
        </is>
      </c>
      <c r="G37" t="inlineStr">
        <is>
          <t>yes</t>
        </is>
      </c>
    </row>
    <row r="38">
      <c r="A38" t="inlineStr">
        <is>
          <t>REF-2026.03.01-REMUNERATION</t>
        </is>
      </c>
      <c r="B38" t="n">
        <v>2</v>
      </c>
      <c r="C38">
        <f>COUNTIFS(Figures!$D:$D,$A38,Figures!$K:$K,"Y")</f>
        <v/>
      </c>
      <c r="D38">
        <f>COUNTIFS(Figures!$D:$D,$A38,Figures!$K:$K,"QUERY")</f>
        <v/>
      </c>
      <c r="E38" t="inlineStr">
        <is>
          <t>NOT verified</t>
        </is>
      </c>
      <c r="F38" t="inlineStr">
        <is>
          <t>dev-loader@labourmax.invalid</t>
        </is>
      </c>
      <c r="G38" t="inlineStr">
        <is>
          <t>yes</t>
        </is>
      </c>
    </row>
    <row r="39">
      <c r="A39" t="inlineStr">
        <is>
          <t>REF-2026.03.01-RULES-r4</t>
        </is>
      </c>
      <c r="B39" t="n">
        <v>101</v>
      </c>
      <c r="C39">
        <f>COUNTIFS(Figures!$D:$D,$A39,Figures!$K:$K,"Y")</f>
        <v/>
      </c>
      <c r="D39">
        <f>COUNTIFS(Figures!$D:$D,$A39,Figures!$K:$K,"QUERY")</f>
        <v/>
      </c>
      <c r="E39" t="inlineStr">
        <is>
          <t>NOT verified</t>
        </is>
      </c>
      <c r="F39" t="inlineStr">
        <is>
          <t>dev-loader@labourmax.invalid</t>
        </is>
      </c>
      <c r="G39" t="inlineStr">
        <is>
          <t>yes</t>
        </is>
      </c>
    </row>
    <row r="40">
      <c r="A40" t="inlineStr">
        <is>
          <t>REF-2026.03.01-SD1-r4</t>
        </is>
      </c>
      <c r="B40" t="n">
        <v>52</v>
      </c>
      <c r="C40">
        <f>COUNTIFS(Figures!$D:$D,$A40,Figures!$K:$K,"Y")</f>
        <v/>
      </c>
      <c r="D40">
        <f>COUNTIFS(Figures!$D:$D,$A40,Figures!$K:$K,"QUERY")</f>
        <v/>
      </c>
      <c r="E40" t="inlineStr">
        <is>
          <t>NOT verified</t>
        </is>
      </c>
      <c r="F40" t="inlineStr">
        <is>
          <t>dev-loader@labourmax.invalid</t>
        </is>
      </c>
      <c r="G40" t="inlineStr">
        <is>
          <t>yes</t>
        </is>
      </c>
    </row>
    <row r="41">
      <c r="A41" t="inlineStr">
        <is>
          <t>REF-2026.03.01-SICK-ACCRUAL</t>
        </is>
      </c>
      <c r="B41" t="n">
        <v>2</v>
      </c>
      <c r="C41">
        <f>COUNTIFS(Figures!$D:$D,$A41,Figures!$K:$K,"Y")</f>
        <v/>
      </c>
      <c r="D41">
        <f>COUNTIFS(Figures!$D:$D,$A41,Figures!$K:$K,"QUERY")</f>
        <v/>
      </c>
      <c r="E41" t="inlineStr">
        <is>
          <t>NOT verified</t>
        </is>
      </c>
      <c r="F41" t="inlineStr">
        <is>
          <t>dev-loader@labourmax.invalid</t>
        </is>
      </c>
      <c r="G41" t="inlineStr">
        <is>
          <t>yes</t>
        </is>
      </c>
    </row>
    <row r="42">
      <c r="A42" t="inlineStr">
        <is>
          <t>REF-2026.03.01-TERMINATION</t>
        </is>
      </c>
      <c r="B42" t="n">
        <v>2</v>
      </c>
      <c r="C42">
        <f>COUNTIFS(Figures!$D:$D,$A42,Figures!$K:$K,"Y")</f>
        <v/>
      </c>
      <c r="D42">
        <f>COUNTIFS(Figures!$D:$D,$A42,Figures!$K:$K,"QUERY")</f>
        <v/>
      </c>
      <c r="E42" t="inlineStr">
        <is>
          <t>NOT verified</t>
        </is>
      </c>
      <c r="F42" t="inlineStr">
        <is>
          <t>dev-loader@labourmax.invalid</t>
        </is>
      </c>
      <c r="G42" t="inlineStr">
        <is>
          <t>yes</t>
        </is>
      </c>
    </row>
    <row r="43">
      <c r="A43" s="7" t="inlineStr">
        <is>
          <t>REF-2026.04.01-BCCCI</t>
        </is>
      </c>
      <c r="B43" s="7" t="n">
        <v>5</v>
      </c>
      <c r="C43" s="7">
        <f>COUNTIFS(Figures!$D:$D,$A43,Figures!$K:$K,"Y")</f>
        <v/>
      </c>
      <c r="D43" s="7">
        <f>COUNTIFS(Figures!$D:$D,$A43,Figures!$K:$K,"QUERY")</f>
        <v/>
      </c>
      <c r="E43" s="8" t="inlineStr">
        <is>
          <t>MACHINE ONLY — still needs a human</t>
        </is>
      </c>
      <c r="F43" s="7" t="inlineStr">
        <is>
          <t>dev-loader@labourmax.invalid</t>
        </is>
      </c>
      <c r="G43" s="7" t="inlineStr">
        <is>
          <t>yes</t>
        </is>
      </c>
    </row>
    <row r="44">
      <c r="A44" s="7" t="inlineStr">
        <is>
          <t>REF-2026.04.01-BCCCI-MATERNITY</t>
        </is>
      </c>
      <c r="B44" s="7" t="n">
        <v>6</v>
      </c>
      <c r="C44" s="7">
        <f>COUNTIFS(Figures!$D:$D,$A44,Figures!$K:$K,"Y")</f>
        <v/>
      </c>
      <c r="D44" s="7">
        <f>COUNTIFS(Figures!$D:$D,$A44,Figures!$K:$K,"QUERY")</f>
        <v/>
      </c>
      <c r="E44" s="8" t="inlineStr">
        <is>
          <t>MACHINE ONLY — still needs a human</t>
        </is>
      </c>
      <c r="F44" s="7" t="inlineStr">
        <is>
          <t>dev-loader@labourmax.invalid</t>
        </is>
      </c>
      <c r="G44" s="7" t="inlineStr">
        <is>
          <t>yes</t>
        </is>
      </c>
    </row>
    <row r="45">
      <c r="A45" s="7" t="inlineStr">
        <is>
          <t>REF-2026.04.01-BCCCI-NOTICE-r2</t>
        </is>
      </c>
      <c r="B45" s="7" t="n">
        <v>23</v>
      </c>
      <c r="C45" s="7">
        <f>COUNTIFS(Figures!$D:$D,$A45,Figures!$K:$K,"Y")</f>
        <v/>
      </c>
      <c r="D45" s="7">
        <f>COUNTIFS(Figures!$D:$D,$A45,Figures!$K:$K,"QUERY")</f>
        <v/>
      </c>
      <c r="E45" s="8" t="inlineStr">
        <is>
          <t>MACHINE ONLY — still needs a human</t>
        </is>
      </c>
      <c r="F45" s="7" t="inlineStr">
        <is>
          <t>dev-loader@labourmax.invalid</t>
        </is>
      </c>
      <c r="G45" s="7" t="inlineStr">
        <is>
          <t>yes</t>
        </is>
      </c>
    </row>
    <row r="46">
      <c r="A46" s="7" t="inlineStr">
        <is>
          <t>REF-2026.04.01-BCCCI-RULES-r2</t>
        </is>
      </c>
      <c r="B46" s="7" t="n">
        <v>56</v>
      </c>
      <c r="C46" s="7">
        <f>COUNTIFS(Figures!$D:$D,$A46,Figures!$K:$K,"Y")</f>
        <v/>
      </c>
      <c r="D46" s="7">
        <f>COUNTIFS(Figures!$D:$D,$A46,Figures!$K:$K,"QUERY")</f>
        <v/>
      </c>
      <c r="E46" s="8" t="inlineStr">
        <is>
          <t>MACHINE ONLY — still needs a human</t>
        </is>
      </c>
      <c r="F46" s="7" t="inlineStr">
        <is>
          <t>dev-loader@labourmax.invalid</t>
        </is>
      </c>
      <c r="G46" s="7" t="inlineStr">
        <is>
          <t>yes</t>
        </is>
      </c>
    </row>
    <row r="48">
      <c r="A48" s="2" t="inlineStr">
        <is>
          <t>MACHINE ONLY means verified by claude-verification@labourmax.invalid, which is a development identity and not a person. Those versions need a human pass exactly like the others — they are not done.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83"/>
  <sheetViews>
    <sheetView workbookViewId="0">
      <pane ySplit="1" topLeftCell="A2" activePane="bottomLeft" state="frozen"/>
      <selection pane="bottomLeft" activeCell="A1" sqref="A1"/>
    </sheetView>
  </sheetViews>
  <sheetFormatPr baseColWidth="8" defaultRowHeight="15"/>
  <cols>
    <col width="52" customWidth="1" min="1" max="1"/>
    <col width="30" customWidth="1" min="2" max="2"/>
    <col width="30" customWidth="1" min="3" max="3"/>
    <col width="30" customWidth="1" min="4" max="4"/>
    <col width="24" customWidth="1" min="5" max="5"/>
    <col width="56" customWidth="1" min="6" max="6"/>
    <col width="22" customWidth="1" min="7" max="7"/>
    <col width="14" customWidth="1" min="8" max="8"/>
    <col width="14" customWidth="1" min="9" max="9"/>
    <col width="30" customWidth="1" min="10" max="10"/>
    <col width="11" customWidth="1" min="11" max="11"/>
    <col width="24" customWidth="1" min="12" max="12"/>
    <col width="14" customWidth="1" min="13" max="13"/>
    <col width="60" customWidth="1" min="14" max="14"/>
  </cols>
  <sheetData>
    <row r="1">
      <c r="A1" s="9" t="inlineStr">
        <is>
          <t>Source document</t>
        </is>
      </c>
      <c r="B1" s="9" t="inlineStr">
        <is>
          <t>Clause / section</t>
        </is>
      </c>
      <c r="C1" s="9" t="inlineStr">
        <is>
          <t>Source URL</t>
        </is>
      </c>
      <c r="D1" s="9" t="inlineStr">
        <is>
          <t>Reference version</t>
        </is>
      </c>
      <c r="E1" s="9" t="inlineStr">
        <is>
          <t>Table</t>
        </is>
      </c>
      <c r="F1" s="9" t="inlineStr">
        <is>
          <t>What it is</t>
        </is>
      </c>
      <c r="G1" s="9" t="inlineStr">
        <is>
          <t>Value as loaded</t>
        </is>
      </c>
      <c r="H1" s="9" t="inlineStr">
        <is>
          <t>Effective from</t>
        </is>
      </c>
      <c r="I1" s="9" t="inlineStr">
        <is>
          <t>Effective to</t>
        </is>
      </c>
      <c r="J1" s="9" t="inlineStr">
        <is>
          <t>Row key</t>
        </is>
      </c>
      <c r="K1" s="9" t="inlineStr">
        <is>
          <t>Checked</t>
        </is>
      </c>
      <c r="L1" s="9" t="inlineStr">
        <is>
          <t>Checked by</t>
        </is>
      </c>
      <c r="M1" s="9" t="inlineStr">
        <is>
          <t>Date checked</t>
        </is>
      </c>
      <c r="N1" s="9" t="inlineStr">
        <is>
          <t>Note</t>
        </is>
      </c>
    </row>
    <row r="2">
      <c r="A2" s="10" t="inlineStr">
        <is>
          <t>BCCCI (KwaZulu-Natal) Main Collective Agreement, GN R.7296 in GG 54412, 27 March 2026</t>
        </is>
      </c>
      <c r="B2" s="10" t="inlineStr">
        <is>
          <t>clause 21.1(b)(i)</t>
        </is>
      </c>
      <c r="C2" s="11" t="inlineStr"/>
      <c r="D2" s="12" t="inlineStr">
        <is>
          <t>REF-2026.04.01-BCCCI-NOTICE-r2</t>
        </is>
      </c>
      <c r="E2" s="11" t="inlineStr">
        <is>
          <t>termination_notice_band</t>
        </is>
      </c>
      <c r="F2" s="10" t="inlineStr">
        <is>
          <t>Notice band 1 — CONTRACT_CLEANING / AREA_B, 0.00 weeks to 4.00 weeks — is contested</t>
        </is>
      </c>
      <c r="G2" s="11" t="inlineStr">
        <is>
          <t>No</t>
        </is>
      </c>
      <c r="H2" s="11" t="inlineStr"/>
      <c r="I2" s="11" t="inlineStr"/>
      <c r="J2" s="11" t="inlineStr">
        <is>
          <t>termination_notice_band:8:is_contested</t>
        </is>
      </c>
      <c r="K2" s="13" t="n"/>
      <c r="L2" s="13" t="n"/>
      <c r="M2" s="13" t="n"/>
      <c r="N2" s="13" t="n"/>
    </row>
    <row r="3">
      <c r="A3" s="14" t="inlineStr">
        <is>
          <t>BCCCI (KwaZulu-Natal) Main Collective Agreement, GN R.7296 in GG 54412, 27 March 2026</t>
        </is>
      </c>
      <c r="B3" s="14" t="inlineStr">
        <is>
          <t>clause 21.1(b)(i)</t>
        </is>
      </c>
      <c r="C3" s="15" t="inlineStr"/>
      <c r="D3" s="12" t="inlineStr">
        <is>
          <t>REF-2026.04.01-BCCCI-NOTICE-r2</t>
        </is>
      </c>
      <c r="E3" s="15" t="inlineStr">
        <is>
          <t>termination_notice_band</t>
        </is>
      </c>
      <c r="F3" s="14" t="inlineStr">
        <is>
          <t>Notice band 1 — CONTRACT_CLEANING / AREA_B, 0.00 weeks to 4.00 weeks — notice unit</t>
        </is>
      </c>
      <c r="G3" s="15" t="inlineStr">
        <is>
          <t>Days</t>
        </is>
      </c>
      <c r="H3" s="15" t="inlineStr"/>
      <c r="I3" s="15" t="inlineStr"/>
      <c r="J3" s="15" t="inlineStr">
        <is>
          <t>termination_notice_band:8:notice_unit</t>
        </is>
      </c>
    </row>
    <row r="4">
      <c r="A4" s="14" t="inlineStr">
        <is>
          <t>BCCCI (KwaZulu-Natal) Main Collective Agreement, GN R.7296 in GG 54412, 27 March 2026</t>
        </is>
      </c>
      <c r="B4" s="14" t="inlineStr">
        <is>
          <t>clause 21.1(b)(i)</t>
        </is>
      </c>
      <c r="C4" s="15" t="inlineStr"/>
      <c r="D4" s="12" t="inlineStr">
        <is>
          <t>REF-2026.04.01-BCCCI-NOTICE-r2</t>
        </is>
      </c>
      <c r="E4" s="15" t="inlineStr">
        <is>
          <t>termination_notice_band</t>
        </is>
      </c>
      <c r="F4" s="14" t="inlineStr">
        <is>
          <t>Notice band 1 — CONTRACT_CLEANING / AREA_B, 0.00 weeks to 4.00 weeks — notice value</t>
        </is>
      </c>
      <c r="G4" s="15" t="inlineStr">
        <is>
          <t>1,00</t>
        </is>
      </c>
      <c r="H4" s="15" t="inlineStr"/>
      <c r="I4" s="15" t="inlineStr"/>
      <c r="J4" s="15" t="inlineStr">
        <is>
          <t>termination_notice_band:8:notice_value</t>
        </is>
      </c>
    </row>
    <row r="5">
      <c r="A5" s="14" t="inlineStr">
        <is>
          <t>BCCCI (KwaZulu-Natal) Main Collective Agreement, GN R.7296 in GG 54412, 27 March 2026</t>
        </is>
      </c>
      <c r="B5" s="14" t="inlineStr">
        <is>
          <t>clause 21.1(b)(i)</t>
        </is>
      </c>
      <c r="C5" s="15" t="inlineStr"/>
      <c r="D5" s="12" t="inlineStr">
        <is>
          <t>REF-2026.04.01-BCCCI-NOTICE-r2</t>
        </is>
      </c>
      <c r="E5" s="15" t="inlineStr">
        <is>
          <t>termination_notice_band</t>
        </is>
      </c>
      <c r="F5" s="14" t="inlineStr">
        <is>
          <t>Notice band 1 — CONTRACT_CLEANING / AREA_B, 0.00 weeks to 4.00 weeks — service from inclusive</t>
        </is>
      </c>
      <c r="G5" s="15" t="inlineStr">
        <is>
          <t>Yes</t>
        </is>
      </c>
      <c r="H5" s="15" t="inlineStr"/>
      <c r="I5" s="15" t="inlineStr"/>
      <c r="J5" s="15" t="inlineStr">
        <is>
          <t>termination_notice_band:8:service_from_inclusive</t>
        </is>
      </c>
    </row>
    <row r="6">
      <c r="A6" s="14" t="inlineStr">
        <is>
          <t>BCCCI (KwaZulu-Natal) Main Collective Agreement, GN R.7296 in GG 54412, 27 March 2026</t>
        </is>
      </c>
      <c r="B6" s="14" t="inlineStr">
        <is>
          <t>clause 21.1(b)(i)</t>
        </is>
      </c>
      <c r="C6" s="15" t="inlineStr"/>
      <c r="D6" s="12" t="inlineStr">
        <is>
          <t>REF-2026.04.01-BCCCI-NOTICE-r2</t>
        </is>
      </c>
      <c r="E6" s="15" t="inlineStr">
        <is>
          <t>termination_notice_band</t>
        </is>
      </c>
      <c r="F6" s="14" t="inlineStr">
        <is>
          <t>Notice band 1 — CONTRACT_CLEANING / AREA_B, 0.00 weeks to 4.00 weeks — service from unit</t>
        </is>
      </c>
      <c r="G6" s="15" t="inlineStr">
        <is>
          <t>Weeks</t>
        </is>
      </c>
      <c r="H6" s="15" t="inlineStr"/>
      <c r="I6" s="15" t="inlineStr"/>
      <c r="J6" s="15" t="inlineStr">
        <is>
          <t>termination_notice_band:8:service_from_unit</t>
        </is>
      </c>
    </row>
    <row r="7">
      <c r="A7" s="14" t="inlineStr">
        <is>
          <t>BCCCI (KwaZulu-Natal) Main Collective Agreement, GN R.7296 in GG 54412, 27 March 2026</t>
        </is>
      </c>
      <c r="B7" s="14" t="inlineStr">
        <is>
          <t>clause 21.1(b)(i)</t>
        </is>
      </c>
      <c r="C7" s="15" t="inlineStr"/>
      <c r="D7" s="12" t="inlineStr">
        <is>
          <t>REF-2026.04.01-BCCCI-NOTICE-r2</t>
        </is>
      </c>
      <c r="E7" s="15" t="inlineStr">
        <is>
          <t>termination_notice_band</t>
        </is>
      </c>
      <c r="F7" s="14" t="inlineStr">
        <is>
          <t>Notice band 1 — CONTRACT_CLEANING / AREA_B, 0.00 weeks to 4.00 weeks — service from value</t>
        </is>
      </c>
      <c r="G7" s="15" t="inlineStr">
        <is>
          <t>0,00</t>
        </is>
      </c>
      <c r="H7" s="15" t="inlineStr"/>
      <c r="I7" s="15" t="inlineStr"/>
      <c r="J7" s="15" t="inlineStr">
        <is>
          <t>termination_notice_band:8:service_from_value</t>
        </is>
      </c>
    </row>
    <row r="8">
      <c r="A8" s="14" t="inlineStr">
        <is>
          <t>BCCCI (KwaZulu-Natal) Main Collective Agreement, GN R.7296 in GG 54412, 27 March 2026</t>
        </is>
      </c>
      <c r="B8" s="14" t="inlineStr">
        <is>
          <t>clause 21.1(b)(i)</t>
        </is>
      </c>
      <c r="C8" s="15" t="inlineStr"/>
      <c r="D8" s="12" t="inlineStr">
        <is>
          <t>REF-2026.04.01-BCCCI-NOTICE-r2</t>
        </is>
      </c>
      <c r="E8" s="15" t="inlineStr">
        <is>
          <t>termination_notice_band</t>
        </is>
      </c>
      <c r="F8" s="14" t="inlineStr">
        <is>
          <t>Notice band 1 — CONTRACT_CLEANING / AREA_B, 0.00 weeks to 4.00 weeks — service to inclusive</t>
        </is>
      </c>
      <c r="G8" s="15" t="inlineStr">
        <is>
          <t>Yes</t>
        </is>
      </c>
      <c r="H8" s="15" t="inlineStr"/>
      <c r="I8" s="15" t="inlineStr"/>
      <c r="J8" s="15" t="inlineStr">
        <is>
          <t>termination_notice_band:8:service_to_inclusive</t>
        </is>
      </c>
    </row>
    <row r="9">
      <c r="A9" s="14" t="inlineStr">
        <is>
          <t>BCCCI (KwaZulu-Natal) Main Collective Agreement, GN R.7296 in GG 54412, 27 March 2026</t>
        </is>
      </c>
      <c r="B9" s="14" t="inlineStr">
        <is>
          <t>clause 21.1(b)(i)</t>
        </is>
      </c>
      <c r="C9" s="15" t="inlineStr"/>
      <c r="D9" s="12" t="inlineStr">
        <is>
          <t>REF-2026.04.01-BCCCI-NOTICE-r2</t>
        </is>
      </c>
      <c r="E9" s="15" t="inlineStr">
        <is>
          <t>termination_notice_band</t>
        </is>
      </c>
      <c r="F9" s="14" t="inlineStr">
        <is>
          <t>Notice band 1 — CONTRACT_CLEANING / AREA_B, 0.00 weeks to 4.00 weeks — service to unit</t>
        </is>
      </c>
      <c r="G9" s="15" t="inlineStr">
        <is>
          <t>Weeks</t>
        </is>
      </c>
      <c r="H9" s="15" t="inlineStr"/>
      <c r="I9" s="15" t="inlineStr"/>
      <c r="J9" s="15" t="inlineStr">
        <is>
          <t>termination_notice_band:8:service_to_unit</t>
        </is>
      </c>
    </row>
    <row r="10">
      <c r="A10" s="14" t="inlineStr">
        <is>
          <t>BCCCI (KwaZulu-Natal) Main Collective Agreement, GN R.7296 in GG 54412, 27 March 2026</t>
        </is>
      </c>
      <c r="B10" s="14" t="inlineStr">
        <is>
          <t>clause 21.1(b)(i)</t>
        </is>
      </c>
      <c r="C10" s="15" t="inlineStr"/>
      <c r="D10" s="12" t="inlineStr">
        <is>
          <t>REF-2026.04.01-BCCCI-NOTICE-r2</t>
        </is>
      </c>
      <c r="E10" s="15" t="inlineStr">
        <is>
          <t>termination_notice_band</t>
        </is>
      </c>
      <c r="F10" s="14" t="inlineStr">
        <is>
          <t>Notice band 1 — CONTRACT_CLEANING / AREA_B, 0.00 weeks to 4.00 weeks — service to value</t>
        </is>
      </c>
      <c r="G10" s="15" t="inlineStr">
        <is>
          <t>4,00</t>
        </is>
      </c>
      <c r="H10" s="15" t="inlineStr"/>
      <c r="I10" s="15" t="inlineStr"/>
      <c r="J10" s="15" t="inlineStr">
        <is>
          <t>termination_notice_band:8:service_to_value</t>
        </is>
      </c>
    </row>
    <row r="11">
      <c r="A11" s="14" t="inlineStr">
        <is>
          <t>BCCCI (KwaZulu-Natal) Main Collective Agreement, GN R.7296 in GG 54412, 27 March 2026</t>
        </is>
      </c>
      <c r="B11" s="14" t="inlineStr">
        <is>
          <t>clause 21.1(b), second 'i)' and 'ii)' as published</t>
        </is>
      </c>
      <c r="C11" s="15" t="inlineStr"/>
      <c r="D11" s="12" t="inlineStr">
        <is>
          <t>REF-2026.04.01-BCCCI-NOTICE-r2</t>
        </is>
      </c>
      <c r="E11" s="15" t="inlineStr">
        <is>
          <t>termination_notice_band</t>
        </is>
      </c>
      <c r="F11" s="14" t="inlineStr">
        <is>
          <t>Notice band 2 — CONTRACT_CLEANING / AREA_B, 4.00 weeks to 6.00 months — contested reason</t>
        </is>
      </c>
      <c r="G11" s="15" t="inlineStr">
        <is>
          <t>TWO LIMBS, TWO ANSWERS. The clause says both "Not less than two weeks notice shall be given after the first four weeks of such employment" and "Not less than one weeks notice shall be given to an employee whilst on probation, as defined, for the period of employment between 4 weeks as in sub clause (i) above and six months". Probation is defined in clause 3 as a maximum of four months, so an employee between four weeks and six months falls under both. Clause 21.2(a) prices only the one working day and the two weeks, giving no payment in lieu for the one-week probation notice, so the payment clause does not settle it either.</t>
        </is>
      </c>
      <c r="H11" s="15" t="inlineStr"/>
      <c r="I11" s="15" t="inlineStr"/>
      <c r="J11" s="15" t="inlineStr">
        <is>
          <t>termination_notice_band:9:contested_reason</t>
        </is>
      </c>
    </row>
    <row r="12">
      <c r="A12" s="14" t="inlineStr">
        <is>
          <t>BCCCI (KwaZulu-Natal) Main Collective Agreement, GN R.7296 in GG 54412, 27 March 2026</t>
        </is>
      </c>
      <c r="B12" s="14" t="inlineStr">
        <is>
          <t>clause 21.1(b), second 'i)' and 'ii)' as published</t>
        </is>
      </c>
      <c r="C12" s="15" t="inlineStr"/>
      <c r="D12" s="12" t="inlineStr">
        <is>
          <t>REF-2026.04.01-BCCCI-NOTICE-r2</t>
        </is>
      </c>
      <c r="E12" s="15" t="inlineStr">
        <is>
          <t>termination_notice_band</t>
        </is>
      </c>
      <c r="F12" s="14" t="inlineStr">
        <is>
          <t>Notice band 2 — CONTRACT_CLEANING / AREA_B, 4.00 weeks to 6.00 months — is contested</t>
        </is>
      </c>
      <c r="G12" s="15" t="inlineStr">
        <is>
          <t>Yes</t>
        </is>
      </c>
      <c r="H12" s="15" t="inlineStr"/>
      <c r="I12" s="15" t="inlineStr"/>
      <c r="J12" s="15" t="inlineStr">
        <is>
          <t>termination_notice_band:9:is_contested</t>
        </is>
      </c>
    </row>
    <row r="13">
      <c r="A13" s="14" t="inlineStr">
        <is>
          <t>BCCCI (KwaZulu-Natal) Main Collective Agreement, GN R.7296 in GG 54412, 27 March 2026</t>
        </is>
      </c>
      <c r="B13" s="14" t="inlineStr">
        <is>
          <t>clause 21.1(b), second 'i)' and 'ii)' as published</t>
        </is>
      </c>
      <c r="C13" s="15" t="inlineStr"/>
      <c r="D13" s="12" t="inlineStr">
        <is>
          <t>REF-2026.04.01-BCCCI-NOTICE-r2</t>
        </is>
      </c>
      <c r="E13" s="15" t="inlineStr">
        <is>
          <t>termination_notice_band</t>
        </is>
      </c>
      <c r="F13" s="14" t="inlineStr">
        <is>
          <t>Notice band 2 — CONTRACT_CLEANING / AREA_B, 4.00 weeks to 6.00 months — service from inclusive</t>
        </is>
      </c>
      <c r="G13" s="15" t="inlineStr">
        <is>
          <t>No</t>
        </is>
      </c>
      <c r="H13" s="15" t="inlineStr"/>
      <c r="I13" s="15" t="inlineStr"/>
      <c r="J13" s="15" t="inlineStr">
        <is>
          <t>termination_notice_band:9:service_from_inclusive</t>
        </is>
      </c>
    </row>
    <row r="14">
      <c r="A14" s="14" t="inlineStr">
        <is>
          <t>BCCCI (KwaZulu-Natal) Main Collective Agreement, GN R.7296 in GG 54412, 27 March 2026</t>
        </is>
      </c>
      <c r="B14" s="14" t="inlineStr">
        <is>
          <t>clause 21.1(b), second 'i)' and 'ii)' as published</t>
        </is>
      </c>
      <c r="C14" s="15" t="inlineStr"/>
      <c r="D14" s="12" t="inlineStr">
        <is>
          <t>REF-2026.04.01-BCCCI-NOTICE-r2</t>
        </is>
      </c>
      <c r="E14" s="15" t="inlineStr">
        <is>
          <t>termination_notice_band</t>
        </is>
      </c>
      <c r="F14" s="14" t="inlineStr">
        <is>
          <t>Notice band 2 — CONTRACT_CLEANING / AREA_B, 4.00 weeks to 6.00 months — service from unit</t>
        </is>
      </c>
      <c r="G14" s="15" t="inlineStr">
        <is>
          <t>Weeks</t>
        </is>
      </c>
      <c r="H14" s="15" t="inlineStr"/>
      <c r="I14" s="15" t="inlineStr"/>
      <c r="J14" s="15" t="inlineStr">
        <is>
          <t>termination_notice_band:9:service_from_unit</t>
        </is>
      </c>
    </row>
    <row r="15">
      <c r="A15" s="14" t="inlineStr">
        <is>
          <t>BCCCI (KwaZulu-Natal) Main Collective Agreement, GN R.7296 in GG 54412, 27 March 2026</t>
        </is>
      </c>
      <c r="B15" s="14" t="inlineStr">
        <is>
          <t>clause 21.1(b), second 'i)' and 'ii)' as published</t>
        </is>
      </c>
      <c r="C15" s="15" t="inlineStr"/>
      <c r="D15" s="12" t="inlineStr">
        <is>
          <t>REF-2026.04.01-BCCCI-NOTICE-r2</t>
        </is>
      </c>
      <c r="E15" s="15" t="inlineStr">
        <is>
          <t>termination_notice_band</t>
        </is>
      </c>
      <c r="F15" s="14" t="inlineStr">
        <is>
          <t>Notice band 2 — CONTRACT_CLEANING / AREA_B, 4.00 weeks to 6.00 months — service from value</t>
        </is>
      </c>
      <c r="G15" s="15" t="inlineStr">
        <is>
          <t>4,00</t>
        </is>
      </c>
      <c r="H15" s="15" t="inlineStr"/>
      <c r="I15" s="15" t="inlineStr"/>
      <c r="J15" s="15" t="inlineStr">
        <is>
          <t>termination_notice_band:9:service_from_value</t>
        </is>
      </c>
    </row>
    <row r="16">
      <c r="A16" s="14" t="inlineStr">
        <is>
          <t>BCCCI (KwaZulu-Natal) Main Collective Agreement, GN R.7296 in GG 54412, 27 March 2026</t>
        </is>
      </c>
      <c r="B16" s="14" t="inlineStr">
        <is>
          <t>clause 21.1(b), second 'i)' and 'ii)' as published</t>
        </is>
      </c>
      <c r="C16" s="15" t="inlineStr"/>
      <c r="D16" s="12" t="inlineStr">
        <is>
          <t>REF-2026.04.01-BCCCI-NOTICE-r2</t>
        </is>
      </c>
      <c r="E16" s="15" t="inlineStr">
        <is>
          <t>termination_notice_band</t>
        </is>
      </c>
      <c r="F16" s="14" t="inlineStr">
        <is>
          <t>Notice band 2 — CONTRACT_CLEANING / AREA_B, 4.00 weeks to 6.00 months — service to inclusive</t>
        </is>
      </c>
      <c r="G16" s="15" t="inlineStr">
        <is>
          <t>Yes</t>
        </is>
      </c>
      <c r="H16" s="15" t="inlineStr"/>
      <c r="I16" s="15" t="inlineStr"/>
      <c r="J16" s="15" t="inlineStr">
        <is>
          <t>termination_notice_band:9:service_to_inclusive</t>
        </is>
      </c>
    </row>
    <row r="17">
      <c r="A17" s="14" t="inlineStr">
        <is>
          <t>BCCCI (KwaZulu-Natal) Main Collective Agreement, GN R.7296 in GG 54412, 27 March 2026</t>
        </is>
      </c>
      <c r="B17" s="14" t="inlineStr">
        <is>
          <t>clause 21.1(b), second 'i)' and 'ii)' as published</t>
        </is>
      </c>
      <c r="C17" s="15" t="inlineStr"/>
      <c r="D17" s="12" t="inlineStr">
        <is>
          <t>REF-2026.04.01-BCCCI-NOTICE-r2</t>
        </is>
      </c>
      <c r="E17" s="15" t="inlineStr">
        <is>
          <t>termination_notice_band</t>
        </is>
      </c>
      <c r="F17" s="14" t="inlineStr">
        <is>
          <t>Notice band 2 — CONTRACT_CLEANING / AREA_B, 4.00 weeks to 6.00 months — service to unit</t>
        </is>
      </c>
      <c r="G17" s="15" t="inlineStr">
        <is>
          <t>Months</t>
        </is>
      </c>
      <c r="H17" s="15" t="inlineStr"/>
      <c r="I17" s="15" t="inlineStr"/>
      <c r="J17" s="15" t="inlineStr">
        <is>
          <t>termination_notice_band:9:service_to_unit</t>
        </is>
      </c>
    </row>
    <row r="18">
      <c r="A18" s="14" t="inlineStr">
        <is>
          <t>BCCCI (KwaZulu-Natal) Main Collective Agreement, GN R.7296 in GG 54412, 27 March 2026</t>
        </is>
      </c>
      <c r="B18" s="14" t="inlineStr">
        <is>
          <t>clause 21.1(b), second 'i)' and 'ii)' as published</t>
        </is>
      </c>
      <c r="C18" s="15" t="inlineStr"/>
      <c r="D18" s="12" t="inlineStr">
        <is>
          <t>REF-2026.04.01-BCCCI-NOTICE-r2</t>
        </is>
      </c>
      <c r="E18" s="15" t="inlineStr">
        <is>
          <t>termination_notice_band</t>
        </is>
      </c>
      <c r="F18" s="14" t="inlineStr">
        <is>
          <t>Notice band 2 — CONTRACT_CLEANING / AREA_B, 4.00 weeks to 6.00 months — service to value</t>
        </is>
      </c>
      <c r="G18" s="15" t="inlineStr">
        <is>
          <t>6,00</t>
        </is>
      </c>
      <c r="H18" s="15" t="inlineStr"/>
      <c r="I18" s="15" t="inlineStr"/>
      <c r="J18" s="15" t="inlineStr">
        <is>
          <t>termination_notice_band:9:service_to_value</t>
        </is>
      </c>
    </row>
    <row r="19">
      <c r="A19" s="14" t="inlineStr">
        <is>
          <t>BCCCI (KwaZulu-Natal) Main Collective Agreement, GN R.7296 in GG 54412, 27 March 2026</t>
        </is>
      </c>
      <c r="B19" s="14" t="inlineStr">
        <is>
          <t>clause 21.1(b), second 'i)' as published</t>
        </is>
      </c>
      <c r="C19" s="15" t="inlineStr"/>
      <c r="D19" s="12" t="inlineStr">
        <is>
          <t>REF-2026.04.01-BCCCI-NOTICE-r2</t>
        </is>
      </c>
      <c r="E19" s="15" t="inlineStr">
        <is>
          <t>termination_notice_band</t>
        </is>
      </c>
      <c r="F19" s="14" t="inlineStr">
        <is>
          <t>Notice band 3 — CONTRACT_CLEANING / AREA_B, 6.00 months to open-ended — is contested</t>
        </is>
      </c>
      <c r="G19" s="15" t="inlineStr">
        <is>
          <t>No</t>
        </is>
      </c>
      <c r="H19" s="15" t="inlineStr"/>
      <c r="I19" s="15" t="inlineStr"/>
      <c r="J19" s="15" t="inlineStr">
        <is>
          <t>termination_notice_band:10:is_contested</t>
        </is>
      </c>
    </row>
    <row r="20">
      <c r="A20" s="14" t="inlineStr">
        <is>
          <t>BCCCI (KwaZulu-Natal) Main Collective Agreement, GN R.7296 in GG 54412, 27 March 2026</t>
        </is>
      </c>
      <c r="B20" s="14" t="inlineStr">
        <is>
          <t>clause 21.1(b), second 'i)' as published</t>
        </is>
      </c>
      <c r="C20" s="15" t="inlineStr"/>
      <c r="D20" s="12" t="inlineStr">
        <is>
          <t>REF-2026.04.01-BCCCI-NOTICE-r2</t>
        </is>
      </c>
      <c r="E20" s="15" t="inlineStr">
        <is>
          <t>termination_notice_band</t>
        </is>
      </c>
      <c r="F20" s="14" t="inlineStr">
        <is>
          <t>Notice band 3 — CONTRACT_CLEANING / AREA_B, 6.00 months to open-ended — notice unit</t>
        </is>
      </c>
      <c r="G20" s="15" t="inlineStr">
        <is>
          <t>Weeks</t>
        </is>
      </c>
      <c r="H20" s="15" t="inlineStr"/>
      <c r="I20" s="15" t="inlineStr"/>
      <c r="J20" s="15" t="inlineStr">
        <is>
          <t>termination_notice_band:10:notice_unit</t>
        </is>
      </c>
    </row>
    <row r="21">
      <c r="A21" s="14" t="inlineStr">
        <is>
          <t>BCCCI (KwaZulu-Natal) Main Collective Agreement, GN R.7296 in GG 54412, 27 March 2026</t>
        </is>
      </c>
      <c r="B21" s="14" t="inlineStr">
        <is>
          <t>clause 21.1(b), second 'i)' as published</t>
        </is>
      </c>
      <c r="C21" s="15" t="inlineStr"/>
      <c r="D21" s="12" t="inlineStr">
        <is>
          <t>REF-2026.04.01-BCCCI-NOTICE-r2</t>
        </is>
      </c>
      <c r="E21" s="15" t="inlineStr">
        <is>
          <t>termination_notice_band</t>
        </is>
      </c>
      <c r="F21" s="14" t="inlineStr">
        <is>
          <t>Notice band 3 — CONTRACT_CLEANING / AREA_B, 6.00 months to open-ended — notice value</t>
        </is>
      </c>
      <c r="G21" s="15" t="inlineStr">
        <is>
          <t>2,00</t>
        </is>
      </c>
      <c r="H21" s="15" t="inlineStr"/>
      <c r="I21" s="15" t="inlineStr"/>
      <c r="J21" s="15" t="inlineStr">
        <is>
          <t>termination_notice_band:10:notice_value</t>
        </is>
      </c>
    </row>
    <row r="22">
      <c r="A22" s="14" t="inlineStr">
        <is>
          <t>BCCCI (KwaZulu-Natal) Main Collective Agreement, GN R.7296 in GG 54412, 27 March 2026</t>
        </is>
      </c>
      <c r="B22" s="14" t="inlineStr">
        <is>
          <t>clause 21.1(b), second 'i)' as published</t>
        </is>
      </c>
      <c r="C22" s="15" t="inlineStr"/>
      <c r="D22" s="12" t="inlineStr">
        <is>
          <t>REF-2026.04.01-BCCCI-NOTICE-r2</t>
        </is>
      </c>
      <c r="E22" s="15" t="inlineStr">
        <is>
          <t>termination_notice_band</t>
        </is>
      </c>
      <c r="F22" s="14" t="inlineStr">
        <is>
          <t>Notice band 3 — CONTRACT_CLEANING / AREA_B, 6.00 months to open-ended — service from inclusive</t>
        </is>
      </c>
      <c r="G22" s="15" t="inlineStr">
        <is>
          <t>No</t>
        </is>
      </c>
      <c r="H22" s="15" t="inlineStr"/>
      <c r="I22" s="15" t="inlineStr"/>
      <c r="J22" s="15" t="inlineStr">
        <is>
          <t>termination_notice_band:10:service_from_inclusive</t>
        </is>
      </c>
    </row>
    <row r="23">
      <c r="A23" s="14" t="inlineStr">
        <is>
          <t>BCCCI (KwaZulu-Natal) Main Collective Agreement, GN R.7296 in GG 54412, 27 March 2026</t>
        </is>
      </c>
      <c r="B23" s="14" t="inlineStr">
        <is>
          <t>clause 21.1(b), second 'i)' as published</t>
        </is>
      </c>
      <c r="C23" s="15" t="inlineStr"/>
      <c r="D23" s="12" t="inlineStr">
        <is>
          <t>REF-2026.04.01-BCCCI-NOTICE-r2</t>
        </is>
      </c>
      <c r="E23" s="15" t="inlineStr">
        <is>
          <t>termination_notice_band</t>
        </is>
      </c>
      <c r="F23" s="14" t="inlineStr">
        <is>
          <t>Notice band 3 — CONTRACT_CLEANING / AREA_B, 6.00 months to open-ended — service from unit</t>
        </is>
      </c>
      <c r="G23" s="15" t="inlineStr">
        <is>
          <t>Months</t>
        </is>
      </c>
      <c r="H23" s="15" t="inlineStr"/>
      <c r="I23" s="15" t="inlineStr"/>
      <c r="J23" s="15" t="inlineStr">
        <is>
          <t>termination_notice_band:10:service_from_unit</t>
        </is>
      </c>
    </row>
    <row r="24">
      <c r="A24" s="14" t="inlineStr">
        <is>
          <t>BCCCI (KwaZulu-Natal) Main Collective Agreement, GN R.7296 in GG 54412, 27 March 2026</t>
        </is>
      </c>
      <c r="B24" s="14" t="inlineStr">
        <is>
          <t>clause 21.1(b), second 'i)' as published</t>
        </is>
      </c>
      <c r="C24" s="15" t="inlineStr"/>
      <c r="D24" s="12" t="inlineStr">
        <is>
          <t>REF-2026.04.01-BCCCI-NOTICE-r2</t>
        </is>
      </c>
      <c r="E24" s="15" t="inlineStr">
        <is>
          <t>termination_notice_band</t>
        </is>
      </c>
      <c r="F24" s="14" t="inlineStr">
        <is>
          <t>Notice band 3 — CONTRACT_CLEANING / AREA_B, 6.00 months to open-ended — service from value</t>
        </is>
      </c>
      <c r="G24" s="15" t="inlineStr">
        <is>
          <t>6,00</t>
        </is>
      </c>
      <c r="H24" s="15" t="inlineStr"/>
      <c r="I24" s="15" t="inlineStr"/>
      <c r="J24" s="15" t="inlineStr">
        <is>
          <t>termination_notice_band:10:service_from_value</t>
        </is>
      </c>
    </row>
    <row r="25">
      <c r="A25" s="10" t="inlineStr">
        <is>
          <t>Bargaining Council for the Contract Cleaning Services Industry (KwaZulu-Natal) Main Collective Agreement, GN R.7296 in Government Gazette 54412, 27 March 2026</t>
        </is>
      </c>
      <c r="B25" s="10" t="inlineStr">
        <is>
          <t>clause 13.2</t>
        </is>
      </c>
      <c r="C25" s="16" t="inlineStr">
        <is>
          <t>https://www.gov.za/sites/default/files/gcis_document/202603/54412rg11965gon7296.pdf</t>
        </is>
      </c>
      <c r="D25" s="12" t="inlineStr">
        <is>
          <t>REF-2026.04.01-BCCCI-MATERNITY</t>
        </is>
      </c>
      <c r="E25" s="11" t="inlineStr">
        <is>
          <t>statutory_parameter</t>
        </is>
      </c>
      <c r="F25" s="10" t="inlineStr">
        <is>
          <t>Statutory parameter PRENATAL_CLINIC_PAID_DAYS_PER_MONTH (CONTRACT_CLEANING / AREA_B) — unit</t>
        </is>
      </c>
      <c r="G25" s="11" t="inlineStr">
        <is>
          <t>Days</t>
        </is>
      </c>
      <c r="H25" s="11" t="inlineStr">
        <is>
          <t>2026-04-01</t>
        </is>
      </c>
      <c r="I25" s="11" t="inlineStr"/>
      <c r="J25" s="11" t="inlineStr">
        <is>
          <t>statutory_parameter:17:unit</t>
        </is>
      </c>
      <c r="K25" s="13" t="n"/>
      <c r="L25" s="13" t="n"/>
      <c r="M25" s="13" t="n"/>
      <c r="N25" s="13" t="n"/>
    </row>
    <row r="26">
      <c r="A26" s="14" t="inlineStr">
        <is>
          <t>Bargaining Council for the Contract Cleaning Services Industry (KwaZulu-Natal) Main Collective Agreement, GN R.7296 in Government Gazette 54412, 27 March 2026</t>
        </is>
      </c>
      <c r="B26" s="14" t="inlineStr">
        <is>
          <t>clause 13.2</t>
        </is>
      </c>
      <c r="C26" s="17" t="inlineStr">
        <is>
          <t>https://www.gov.za/sites/default/files/gcis_document/202603/54412rg11965gon7296.pdf</t>
        </is>
      </c>
      <c r="D26" s="12" t="inlineStr">
        <is>
          <t>REF-2026.04.01-BCCCI-MATERNITY</t>
        </is>
      </c>
      <c r="E26" s="15" t="inlineStr">
        <is>
          <t>statutory_parameter</t>
        </is>
      </c>
      <c r="F26" s="14" t="inlineStr">
        <is>
          <t>Statutory parameter PRENATAL_CLINIC_PAID_DAYS_PER_MONTH (CONTRACT_CLEANING / AREA_B) — value</t>
        </is>
      </c>
      <c r="G26" s="15" t="inlineStr">
        <is>
          <t>1,000000</t>
        </is>
      </c>
      <c r="H26" s="15" t="inlineStr">
        <is>
          <t>2026-04-01</t>
        </is>
      </c>
      <c r="I26" s="15" t="inlineStr"/>
      <c r="J26" s="15" t="inlineStr">
        <is>
          <t>statutory_parameter:17:value_numeric</t>
        </is>
      </c>
    </row>
    <row r="27">
      <c r="A27" s="14" t="inlineStr">
        <is>
          <t>Bargaining Council for the Contract Cleaning Services Industry (KwaZulu-Natal) Main Collective Agreement, GN R.7296 in Government Gazette 54412, 27 March 2026</t>
        </is>
      </c>
      <c r="B27" s="14" t="inlineStr">
        <is>
          <t>clause 13.2</t>
        </is>
      </c>
      <c r="C27" s="17" t="inlineStr">
        <is>
          <t>https://www.gov.za/sites/default/files/gcis_document/202603/54412rg11965gon7296.pdf</t>
        </is>
      </c>
      <c r="D27" s="12" t="inlineStr">
        <is>
          <t>REF-2026.04.01-BCCCI-MATERNITY</t>
        </is>
      </c>
      <c r="E27" s="15" t="inlineStr">
        <is>
          <t>statutory_parameter</t>
        </is>
      </c>
      <c r="F27" s="14" t="inlineStr">
        <is>
          <t>Statutory parameter PRENATAL_CLINIC_MONTHS_BEFORE_BIRTH (CONTRACT_CLEANING / AREA_B) — unit</t>
        </is>
      </c>
      <c r="G27" s="15" t="inlineStr">
        <is>
          <t>Months</t>
        </is>
      </c>
      <c r="H27" s="15" t="inlineStr">
        <is>
          <t>2026-04-01</t>
        </is>
      </c>
      <c r="I27" s="15" t="inlineStr"/>
      <c r="J27" s="15" t="inlineStr">
        <is>
          <t>statutory_parameter:18:unit</t>
        </is>
      </c>
    </row>
    <row r="28">
      <c r="A28" s="14" t="inlineStr">
        <is>
          <t>Bargaining Council for the Contract Cleaning Services Industry (KwaZulu-Natal) Main Collective Agreement, GN R.7296 in Government Gazette 54412, 27 March 2026</t>
        </is>
      </c>
      <c r="B28" s="14" t="inlineStr">
        <is>
          <t>clause 13.2</t>
        </is>
      </c>
      <c r="C28" s="17" t="inlineStr">
        <is>
          <t>https://www.gov.za/sites/default/files/gcis_document/202603/54412rg11965gon7296.pdf</t>
        </is>
      </c>
      <c r="D28" s="12" t="inlineStr">
        <is>
          <t>REF-2026.04.01-BCCCI-MATERNITY</t>
        </is>
      </c>
      <c r="E28" s="15" t="inlineStr">
        <is>
          <t>statutory_parameter</t>
        </is>
      </c>
      <c r="F28" s="14" t="inlineStr">
        <is>
          <t>Statutory parameter PRENATAL_CLINIC_MONTHS_BEFORE_BIRTH (CONTRACT_CLEANING / AREA_B) — value</t>
        </is>
      </c>
      <c r="G28" s="15" t="inlineStr">
        <is>
          <t>3,000000</t>
        </is>
      </c>
      <c r="H28" s="15" t="inlineStr">
        <is>
          <t>2026-04-01</t>
        </is>
      </c>
      <c r="I28" s="15" t="inlineStr"/>
      <c r="J28" s="15" t="inlineStr">
        <is>
          <t>statutory_parameter:18:value_numeric</t>
        </is>
      </c>
    </row>
    <row r="29">
      <c r="A29" s="14" t="inlineStr">
        <is>
          <t>Bargaining Council for the Contract Cleaning Services Industry (KwaZulu-Natal) Main Collective Agreement, GN R.7296 in Government Gazette 54412, 27 March 2026</t>
        </is>
      </c>
      <c r="B29" s="14" t="inlineStr">
        <is>
          <t>clause 13.4(a)</t>
        </is>
      </c>
      <c r="C29" s="17" t="inlineStr">
        <is>
          <t>https://www.gov.za/sites/default/files/gcis_document/202603/54412rg11965gon7296.pdf</t>
        </is>
      </c>
      <c r="D29" s="12" t="inlineStr">
        <is>
          <t>REF-2026.04.01-BCCCI-MATERNITY</t>
        </is>
      </c>
      <c r="E29" s="15" t="inlineStr">
        <is>
          <t>statutory_parameter</t>
        </is>
      </c>
      <c r="F29" s="14" t="inlineStr">
        <is>
          <t>Statutory parameter MATERNITY_RETURN_PAYMENT_MONTH_DIVISOR (CONTRACT_CLEANING / AREA_B) — unit</t>
        </is>
      </c>
      <c r="G29" s="15" t="inlineStr">
        <is>
          <t>Ratio</t>
        </is>
      </c>
      <c r="H29" s="15" t="inlineStr">
        <is>
          <t>2026-04-01</t>
        </is>
      </c>
      <c r="I29" s="15" t="inlineStr"/>
      <c r="J29" s="15" t="inlineStr">
        <is>
          <t>statutory_parameter:19:unit</t>
        </is>
      </c>
    </row>
    <row r="30">
      <c r="A30" s="14" t="inlineStr">
        <is>
          <t>Bargaining Council for the Contract Cleaning Services Industry (KwaZulu-Natal) Main Collective Agreement, GN R.7296 in Government Gazette 54412, 27 March 2026</t>
        </is>
      </c>
      <c r="B30" s="14" t="inlineStr">
        <is>
          <t>clause 13.4(a)</t>
        </is>
      </c>
      <c r="C30" s="17" t="inlineStr">
        <is>
          <t>https://www.gov.za/sites/default/files/gcis_document/202603/54412rg11965gon7296.pdf</t>
        </is>
      </c>
      <c r="D30" s="12" t="inlineStr">
        <is>
          <t>REF-2026.04.01-BCCCI-MATERNITY</t>
        </is>
      </c>
      <c r="E30" s="15" t="inlineStr">
        <is>
          <t>statutory_parameter</t>
        </is>
      </c>
      <c r="F30" s="14" t="inlineStr">
        <is>
          <t>Statutory parameter MATERNITY_RETURN_PAYMENT_MONTH_DIVISOR (CONTRACT_CLEANING / AREA_B) — value</t>
        </is>
      </c>
      <c r="G30" s="15" t="inlineStr">
        <is>
          <t>3,000000</t>
        </is>
      </c>
      <c r="H30" s="15" t="inlineStr">
        <is>
          <t>2026-04-01</t>
        </is>
      </c>
      <c r="I30" s="15" t="inlineStr"/>
      <c r="J30" s="15" t="inlineStr">
        <is>
          <t>statutory_parameter:19:value_numeric</t>
        </is>
      </c>
    </row>
    <row r="31">
      <c r="A31" s="14" t="inlineStr">
        <is>
          <t>Bargaining Council for the Contract Cleaning Services Industry (KwaZulu-Natal) Main Collective Agreement, GN R.7296 in Government Gazette 54412, 27 March 2026</t>
        </is>
      </c>
      <c r="B31" s="14" t="inlineStr">
        <is>
          <t>clause 3, definition of 'monthly wage'</t>
        </is>
      </c>
      <c r="C31" s="17" t="inlineStr">
        <is>
          <t>https://www.gov.za/sites/default/files/gcis_document/202603/54412rg11965gon7296.pdf</t>
        </is>
      </c>
      <c r="D31" s="12" t="inlineStr">
        <is>
          <t>REF-2026.04.01-BCCCI</t>
        </is>
      </c>
      <c r="E31" s="15" t="inlineStr">
        <is>
          <t>statutory_parameter</t>
        </is>
      </c>
      <c r="F31" s="14" t="inlineStr">
        <is>
          <t>Statutory parameter MONTHLY_TO_WEEKLY_FACTOR (CONTRACT_CLEANING / AREA_B) — unit</t>
        </is>
      </c>
      <c r="G31" s="15" t="inlineStr">
        <is>
          <t>Ratio</t>
        </is>
      </c>
      <c r="H31" s="15" t="inlineStr">
        <is>
          <t>2026-04-01</t>
        </is>
      </c>
      <c r="I31" s="15" t="inlineStr"/>
      <c r="J31" s="15" t="inlineStr">
        <is>
          <t>statutory_parameter:16:unit</t>
        </is>
      </c>
    </row>
    <row r="32">
      <c r="A32" s="14" t="inlineStr">
        <is>
          <t>Bargaining Council for the Contract Cleaning Services Industry (KwaZulu-Natal) Main Collective Agreement, GN R.7296 in Government Gazette 54412, 27 March 2026</t>
        </is>
      </c>
      <c r="B32" s="14" t="inlineStr">
        <is>
          <t>clause 3, definition of 'monthly wage'</t>
        </is>
      </c>
      <c r="C32" s="17" t="inlineStr">
        <is>
          <t>https://www.gov.za/sites/default/files/gcis_document/202603/54412rg11965gon7296.pdf</t>
        </is>
      </c>
      <c r="D32" s="12" t="inlineStr">
        <is>
          <t>REF-2026.04.01-BCCCI</t>
        </is>
      </c>
      <c r="E32" s="15" t="inlineStr">
        <is>
          <t>statutory_parameter</t>
        </is>
      </c>
      <c r="F32" s="14" t="inlineStr">
        <is>
          <t>Statutory parameter MONTHLY_TO_WEEKLY_FACTOR (CONTRACT_CLEANING / AREA_B) — value</t>
        </is>
      </c>
      <c r="G32" s="15" t="inlineStr">
        <is>
          <t>4,330000</t>
        </is>
      </c>
      <c r="H32" s="15" t="inlineStr">
        <is>
          <t>2026-04-01</t>
        </is>
      </c>
      <c r="I32" s="15" t="inlineStr"/>
      <c r="J32" s="15" t="inlineStr">
        <is>
          <t>statutory_parameter:16:value_numeric</t>
        </is>
      </c>
    </row>
    <row r="33">
      <c r="A33" s="14" t="inlineStr">
        <is>
          <t>Bargaining Council for the Contract Cleaning Services Industry (KwaZulu-Natal) Main Collective Agreement, GN R.7296 in Government Gazette 54412, 27 March 2026</t>
        </is>
      </c>
      <c r="B33" s="14" t="inlineStr">
        <is>
          <t>clause 4.1(a)(i)</t>
        </is>
      </c>
      <c r="C33" s="17" t="inlineStr">
        <is>
          <t>https://www.gov.za/sites/default/files/gcis_document/202603/54412rg11965gon7296.pdf</t>
        </is>
      </c>
      <c r="D33" s="12" t="inlineStr">
        <is>
          <t>REF-2026.04.01-BCCCI</t>
        </is>
      </c>
      <c r="E33" s="15" t="inlineStr">
        <is>
          <t>minimum_wage_rate</t>
        </is>
      </c>
      <c r="F33" s="14" t="inlineStr">
        <is>
          <t>Minimum wage — CONTRACT_CLEANING / AREA_B, all hours — hourly rate</t>
        </is>
      </c>
      <c r="G33" s="15" t="inlineStr">
        <is>
          <t>R 32,40</t>
        </is>
      </c>
      <c r="H33" s="15" t="inlineStr">
        <is>
          <t>2026-04-01</t>
        </is>
      </c>
      <c r="I33" s="15" t="inlineStr">
        <is>
          <t>2027-03-01</t>
        </is>
      </c>
      <c r="J33" s="15" t="inlineStr">
        <is>
          <t>minimum_wage_rate:5:hourly_rate</t>
        </is>
      </c>
    </row>
    <row r="34">
      <c r="A34" s="14" t="inlineStr">
        <is>
          <t>Bargaining Council for the Contract Cleaning Services Industry (KwaZulu-Natal) Main Collective Agreement, GN R.7296 in Government Gazette 54412, 27 March 2026</t>
        </is>
      </c>
      <c r="B34" s="14" t="inlineStr">
        <is>
          <t>clause 4.1(a)(ii)</t>
        </is>
      </c>
      <c r="C34" s="17" t="inlineStr">
        <is>
          <t>https://www.gov.za/sites/default/files/gcis_document/202603/54412rg11965gon7296.pdf</t>
        </is>
      </c>
      <c r="D34" s="12" t="inlineStr">
        <is>
          <t>REF-2026.04.01-BCCCI</t>
        </is>
      </c>
      <c r="E34" s="15" t="inlineStr">
        <is>
          <t>minimum_wage_rate</t>
        </is>
      </c>
      <c r="F34" s="14" t="inlineStr">
        <is>
          <t>Minimum wage — CONTRACT_CLEANING / AREA_B, all hours — hourly rate</t>
        </is>
      </c>
      <c r="G34" s="15" t="inlineStr">
        <is>
          <t>R 34,02</t>
        </is>
      </c>
      <c r="H34" s="15" t="inlineStr">
        <is>
          <t>2027-03-01</t>
        </is>
      </c>
      <c r="I34" s="15" t="inlineStr">
        <is>
          <t>2028-03-01</t>
        </is>
      </c>
      <c r="J34" s="15" t="inlineStr">
        <is>
          <t>minimum_wage_rate:6:hourly_rate</t>
        </is>
      </c>
    </row>
    <row r="35">
      <c r="A35" s="14" t="inlineStr">
        <is>
          <t>Bargaining Council for the Contract Cleaning Services Industry (KwaZulu-Natal) Main Collective Agreement, GN R.7296 in Government Gazette 54412, 27 March 2026</t>
        </is>
      </c>
      <c r="B35" s="14" t="inlineStr">
        <is>
          <t>clause 4.1(a)(iii)</t>
        </is>
      </c>
      <c r="C35" s="17" t="inlineStr">
        <is>
          <t>https://www.gov.za/sites/default/files/gcis_document/202603/54412rg11965gon7296.pdf</t>
        </is>
      </c>
      <c r="D35" s="12" t="inlineStr">
        <is>
          <t>REF-2026.04.01-BCCCI</t>
        </is>
      </c>
      <c r="E35" s="15" t="inlineStr">
        <is>
          <t>minimum_wage_rate</t>
        </is>
      </c>
      <c r="F35" s="14" t="inlineStr">
        <is>
          <t>Minimum wage — CONTRACT_CLEANING / AREA_B, all hours — hourly rate</t>
        </is>
      </c>
      <c r="G35" s="15" t="inlineStr">
        <is>
          <t>R 35,72</t>
        </is>
      </c>
      <c r="H35" s="15" t="inlineStr">
        <is>
          <t>2028-03-01</t>
        </is>
      </c>
      <c r="I35" s="15" t="inlineStr"/>
      <c r="J35" s="15" t="inlineStr">
        <is>
          <t>minimum_wage_rate:7:hourly_rate</t>
        </is>
      </c>
    </row>
    <row r="36">
      <c r="A36" s="14" t="inlineStr">
        <is>
          <t>Bargaining Council for the Contract Cleaning Services Industry (KwaZulu-Natal) Main Collective Agreement, GN R.7296 in Government Gazette 54412, 27 March 2026</t>
        </is>
      </c>
      <c r="B36" s="14" t="inlineStr">
        <is>
          <t>clauses 3, 4.3, 5, 8, 11, 16 and 17</t>
        </is>
      </c>
      <c r="C36" s="15" t="inlineStr"/>
      <c r="D36" s="12" t="inlineStr">
        <is>
          <t>REF-2026.04.01-BCCCI-RULES-r2</t>
        </is>
      </c>
      <c r="E36" s="15" t="inlineStr">
        <is>
          <t>working_time_rule_set</t>
        </is>
      </c>
      <c r="F36" s="14" t="inlineStr">
        <is>
          <t>Working time rules — CONTRACT_CLEANING / AREA_B — accommodation deduction capped</t>
        </is>
      </c>
      <c r="G36" s="15" t="inlineStr">
        <is>
          <t>No</t>
        </is>
      </c>
      <c r="H36" s="15" t="inlineStr">
        <is>
          <t>2026-04-01</t>
        </is>
      </c>
      <c r="I36" s="15" t="inlineStr"/>
      <c r="J36" s="15" t="inlineStr">
        <is>
          <t>working_time_rule_set:4:accommodation_deduction_capped</t>
        </is>
      </c>
    </row>
    <row r="37">
      <c r="A37" s="14" t="inlineStr">
        <is>
          <t>Bargaining Council for the Contract Cleaning Services Industry (KwaZulu-Natal) Main Collective Agreement, GN R.7296 in Government Gazette 54412, 27 March 2026</t>
        </is>
      </c>
      <c r="B37" s="14" t="inlineStr">
        <is>
          <t>clauses 3, 4.3, 5, 8, 11, 16 and 17</t>
        </is>
      </c>
      <c r="C37" s="15" t="inlineStr"/>
      <c r="D37" s="12" t="inlineStr">
        <is>
          <t>REF-2026.04.01-BCCCI-RULES-r2</t>
        </is>
      </c>
      <c r="E37" s="15" t="inlineStr">
        <is>
          <t>working_time_rule_set</t>
        </is>
      </c>
      <c r="F37" s="14" t="inlineStr">
        <is>
          <t>Working time rules — CONTRACT_CLEANING / AREA_B — daily rest hours</t>
        </is>
      </c>
      <c r="G37" s="15" t="inlineStr">
        <is>
          <t>12</t>
        </is>
      </c>
      <c r="H37" s="15" t="inlineStr">
        <is>
          <t>2026-04-01</t>
        </is>
      </c>
      <c r="I37" s="15" t="inlineStr"/>
      <c r="J37" s="15" t="inlineStr">
        <is>
          <t>working_time_rule_set:4:daily_rest_hours</t>
        </is>
      </c>
    </row>
    <row r="38">
      <c r="A38" s="14" t="inlineStr">
        <is>
          <t>Bargaining Council for the Contract Cleaning Services Industry (KwaZulu-Natal) Main Collective Agreement, GN R.7296 in Government Gazette 54412, 27 March 2026</t>
        </is>
      </c>
      <c r="B38" s="14" t="inlineStr">
        <is>
          <t>clauses 3, 4.3, 5, 8, 11, 16 and 17</t>
        </is>
      </c>
      <c r="C38" s="15" t="inlineStr"/>
      <c r="D38" s="12" t="inlineStr">
        <is>
          <t>REF-2026.04.01-BCCCI-RULES-r2</t>
        </is>
      </c>
      <c r="E38" s="15" t="inlineStr">
        <is>
          <t>working_time_rule_set</t>
        </is>
      </c>
      <c r="F38" s="14" t="inlineStr">
        <is>
          <t>Working time rules — CONTRACT_CLEANING / AREA_B — max overtime hours per day</t>
        </is>
      </c>
      <c r="G38" s="15" t="inlineStr">
        <is>
          <t>3,00</t>
        </is>
      </c>
      <c r="H38" s="15" t="inlineStr">
        <is>
          <t>2026-04-01</t>
        </is>
      </c>
      <c r="I38" s="15" t="inlineStr"/>
      <c r="J38" s="15" t="inlineStr">
        <is>
          <t>working_time_rule_set:4:max_overtime_hours_per_day</t>
        </is>
      </c>
    </row>
    <row r="39">
      <c r="A39" s="14" t="inlineStr">
        <is>
          <t>Bargaining Council for the Contract Cleaning Services Industry (KwaZulu-Natal) Main Collective Agreement, GN R.7296 in Government Gazette 54412, 27 March 2026</t>
        </is>
      </c>
      <c r="B39" s="14" t="inlineStr">
        <is>
          <t>clauses 3, 4.3, 5, 8, 11, 16 and 17</t>
        </is>
      </c>
      <c r="C39" s="15" t="inlineStr"/>
      <c r="D39" s="12" t="inlineStr">
        <is>
          <t>REF-2026.04.01-BCCCI-RULES-r2</t>
        </is>
      </c>
      <c r="E39" s="15" t="inlineStr">
        <is>
          <t>working_time_rule_set</t>
        </is>
      </c>
      <c r="F39" s="14" t="inlineStr">
        <is>
          <t>Working time rules — CONTRACT_CLEANING / AREA_B — max overtime hours per week</t>
        </is>
      </c>
      <c r="G39" s="15" t="inlineStr">
        <is>
          <t>10,00</t>
        </is>
      </c>
      <c r="H39" s="15" t="inlineStr">
        <is>
          <t>2026-04-01</t>
        </is>
      </c>
      <c r="I39" s="15" t="inlineStr"/>
      <c r="J39" s="15" t="inlineStr">
        <is>
          <t>working_time_rule_set:4:max_overtime_hours_per_week</t>
        </is>
      </c>
    </row>
    <row r="40">
      <c r="A40" s="14" t="inlineStr">
        <is>
          <t>Bargaining Council for the Contract Cleaning Services Industry (KwaZulu-Natal) Main Collective Agreement, GN R.7296 in Government Gazette 54412, 27 March 2026</t>
        </is>
      </c>
      <c r="B40" s="14" t="inlineStr">
        <is>
          <t>clauses 3, 4.3, 5, 8, 11, 16 and 17</t>
        </is>
      </c>
      <c r="C40" s="15" t="inlineStr"/>
      <c r="D40" s="12" t="inlineStr">
        <is>
          <t>REF-2026.04.01-BCCCI-RULES-r2</t>
        </is>
      </c>
      <c r="E40" s="15" t="inlineStr">
        <is>
          <t>working_time_rule_set</t>
        </is>
      </c>
      <c r="F40" s="14" t="inlineStr">
        <is>
          <t>Working time rules — CONTRACT_CLEANING / AREA_B — meal interval after hours</t>
        </is>
      </c>
      <c r="G40" s="15" t="inlineStr">
        <is>
          <t>5,00</t>
        </is>
      </c>
      <c r="H40" s="15" t="inlineStr">
        <is>
          <t>2026-04-01</t>
        </is>
      </c>
      <c r="I40" s="15" t="inlineStr"/>
      <c r="J40" s="15" t="inlineStr">
        <is>
          <t>working_time_rule_set:4:meal_interval_after_hours</t>
        </is>
      </c>
    </row>
    <row r="41">
      <c r="A41" s="14" t="inlineStr">
        <is>
          <t>Bargaining Council for the Contract Cleaning Services Industry (KwaZulu-Natal) Main Collective Agreement, GN R.7296 in Government Gazette 54412, 27 March 2026</t>
        </is>
      </c>
      <c r="B41" s="14" t="inlineStr">
        <is>
          <t>clauses 3, 4.3, 5, 8, 11, 16 and 17</t>
        </is>
      </c>
      <c r="C41" s="15" t="inlineStr"/>
      <c r="D41" s="12" t="inlineStr">
        <is>
          <t>REF-2026.04.01-BCCCI-RULES-r2</t>
        </is>
      </c>
      <c r="E41" s="15" t="inlineStr">
        <is>
          <t>working_time_rule_set</t>
        </is>
      </c>
      <c r="F41" s="14" t="inlineStr">
        <is>
          <t>Working time rules — CONTRACT_CLEANING / AREA_B — meal interval minutes</t>
        </is>
      </c>
      <c r="G41" s="15" t="inlineStr">
        <is>
          <t>60</t>
        </is>
      </c>
      <c r="H41" s="15" t="inlineStr">
        <is>
          <t>2026-04-01</t>
        </is>
      </c>
      <c r="I41" s="15" t="inlineStr"/>
      <c r="J41" s="15" t="inlineStr">
        <is>
          <t>working_time_rule_set:4:meal_interval_minutes</t>
        </is>
      </c>
    </row>
    <row r="42">
      <c r="A42" s="14" t="inlineStr">
        <is>
          <t>Bargaining Council for the Contract Cleaning Services Industry (KwaZulu-Natal) Main Collective Agreement, GN R.7296 in Government Gazette 54412, 27 March 2026</t>
        </is>
      </c>
      <c r="B42" s="14" t="inlineStr">
        <is>
          <t>clauses 3, 4.3, 5, 8, 11, 16 and 17</t>
        </is>
      </c>
      <c r="C42" s="15" t="inlineStr"/>
      <c r="D42" s="12" t="inlineStr">
        <is>
          <t>REF-2026.04.01-BCCCI-RULES-r2</t>
        </is>
      </c>
      <c r="E42" s="15" t="inlineStr">
        <is>
          <t>working_time_rule_set</t>
        </is>
      </c>
      <c r="F42" s="14" t="inlineStr">
        <is>
          <t>Working time rules — CONTRACT_CLEANING / AREA_B — min paid hours per day</t>
        </is>
      </c>
      <c r="G42" s="15" t="inlineStr">
        <is>
          <t>6,00</t>
        </is>
      </c>
      <c r="H42" s="15" t="inlineStr">
        <is>
          <t>2026-04-01</t>
        </is>
      </c>
      <c r="I42" s="15" t="inlineStr"/>
      <c r="J42" s="15" t="inlineStr">
        <is>
          <t>working_time_rule_set:4:min_paid_hours_per_day</t>
        </is>
      </c>
    </row>
    <row r="43">
      <c r="A43" s="14" t="inlineStr">
        <is>
          <t>Bargaining Council for the Contract Cleaning Services Industry (KwaZulu-Natal) Main Collective Agreement, GN R.7296 in Government Gazette 54412, 27 March 2026</t>
        </is>
      </c>
      <c r="B43" s="14" t="inlineStr">
        <is>
          <t>clauses 3, 4.3, 5, 8, 11, 16 and 17</t>
        </is>
      </c>
      <c r="C43" s="15" t="inlineStr"/>
      <c r="D43" s="12" t="inlineStr">
        <is>
          <t>REF-2026.04.01-BCCCI-RULES-r2</t>
        </is>
      </c>
      <c r="E43" s="15" t="inlineStr">
        <is>
          <t>working_time_rule_set</t>
        </is>
      </c>
      <c r="F43" s="14" t="inlineStr">
        <is>
          <t>Working time rules — CONTRACT_CLEANING / AREA_B — night allowance type</t>
        </is>
      </c>
      <c r="G43" s="15" t="inlineStr">
        <is>
          <t>A percentage of the hourly wage</t>
        </is>
      </c>
      <c r="H43" s="15" t="inlineStr">
        <is>
          <t>2026-04-01</t>
        </is>
      </c>
      <c r="I43" s="15" t="inlineStr"/>
      <c r="J43" s="15" t="inlineStr">
        <is>
          <t>working_time_rule_set:4:night_allowance_type</t>
        </is>
      </c>
    </row>
    <row r="44">
      <c r="A44" s="14" t="inlineStr">
        <is>
          <t>Bargaining Council for the Contract Cleaning Services Industry (KwaZulu-Natal) Main Collective Agreement, GN R.7296 in Government Gazette 54412, 27 March 2026</t>
        </is>
      </c>
      <c r="B44" s="14" t="inlineStr">
        <is>
          <t>clauses 3, 4.3, 5, 8, 11, 16 and 17</t>
        </is>
      </c>
      <c r="C44" s="15" t="inlineStr"/>
      <c r="D44" s="12" t="inlineStr">
        <is>
          <t>REF-2026.04.01-BCCCI-RULES-r2</t>
        </is>
      </c>
      <c r="E44" s="15" t="inlineStr">
        <is>
          <t>working_time_rule_set</t>
        </is>
      </c>
      <c r="F44" s="14" t="inlineStr">
        <is>
          <t>Working time rules — CONTRACT_CLEANING / AREA_B — night allowance value</t>
        </is>
      </c>
      <c r="G44" s="15" t="inlineStr">
        <is>
          <t>10,0000</t>
        </is>
      </c>
      <c r="H44" s="15" t="inlineStr">
        <is>
          <t>2026-04-01</t>
        </is>
      </c>
      <c r="I44" s="15" t="inlineStr"/>
      <c r="J44" s="15" t="inlineStr">
        <is>
          <t>working_time_rule_set:4:night_allowance_value</t>
        </is>
      </c>
    </row>
    <row r="45">
      <c r="A45" s="14" t="inlineStr">
        <is>
          <t>Bargaining Council for the Contract Cleaning Services Industry (KwaZulu-Natal) Main Collective Agreement, GN R.7296 in Government Gazette 54412, 27 March 2026</t>
        </is>
      </c>
      <c r="B45" s="14" t="inlineStr">
        <is>
          <t>clauses 3, 4.3, 5, 8, 11, 16 and 17</t>
        </is>
      </c>
      <c r="C45" s="15" t="inlineStr"/>
      <c r="D45" s="12" t="inlineStr">
        <is>
          <t>REF-2026.04.01-BCCCI-RULES-r2</t>
        </is>
      </c>
      <c r="E45" s="15" t="inlineStr">
        <is>
          <t>working_time_rule_set</t>
        </is>
      </c>
      <c r="F45" s="14" t="inlineStr">
        <is>
          <t>Working time rules — CONTRACT_CLEANING / AREA_B — night work end time</t>
        </is>
      </c>
      <c r="G45" s="15" t="inlineStr">
        <is>
          <t>06:00:00</t>
        </is>
      </c>
      <c r="H45" s="15" t="inlineStr">
        <is>
          <t>2026-04-01</t>
        </is>
      </c>
      <c r="I45" s="15" t="inlineStr"/>
      <c r="J45" s="15" t="inlineStr">
        <is>
          <t>working_time_rule_set:4:night_work_end_time</t>
        </is>
      </c>
    </row>
    <row r="46">
      <c r="A46" s="14" t="inlineStr">
        <is>
          <t>Bargaining Council for the Contract Cleaning Services Industry (KwaZulu-Natal) Main Collective Agreement, GN R.7296 in Government Gazette 54412, 27 March 2026</t>
        </is>
      </c>
      <c r="B46" s="14" t="inlineStr">
        <is>
          <t>clauses 3, 4.3, 5, 8, 11, 16 and 17</t>
        </is>
      </c>
      <c r="C46" s="15" t="inlineStr"/>
      <c r="D46" s="12" t="inlineStr">
        <is>
          <t>REF-2026.04.01-BCCCI-RULES-r2</t>
        </is>
      </c>
      <c r="E46" s="15" t="inlineStr">
        <is>
          <t>working_time_rule_set</t>
        </is>
      </c>
      <c r="F46" s="14" t="inlineStr">
        <is>
          <t>Working time rules — CONTRACT_CLEANING / AREA_B — night work start time</t>
        </is>
      </c>
      <c r="G46" s="15" t="inlineStr">
        <is>
          <t>18:00:00</t>
        </is>
      </c>
      <c r="H46" s="15" t="inlineStr">
        <is>
          <t>2026-04-01</t>
        </is>
      </c>
      <c r="I46" s="15" t="inlineStr"/>
      <c r="J46" s="15" t="inlineStr">
        <is>
          <t>working_time_rule_set:4:night_work_start_time</t>
        </is>
      </c>
    </row>
    <row r="47">
      <c r="A47" s="14" t="inlineStr">
        <is>
          <t>Bargaining Council for the Contract Cleaning Services Industry (KwaZulu-Natal) Main Collective Agreement, GN R.7296 in Government Gazette 54412, 27 March 2026</t>
        </is>
      </c>
      <c r="B47" s="14" t="inlineStr">
        <is>
          <t>clauses 3, 4.3, 5, 8, 11, 16 and 17</t>
        </is>
      </c>
      <c r="C47" s="15" t="inlineStr"/>
      <c r="D47" s="12" t="inlineStr">
        <is>
          <t>REF-2026.04.01-BCCCI-RULES-r2</t>
        </is>
      </c>
      <c r="E47" s="15" t="inlineStr">
        <is>
          <t>working_time_rule_set</t>
        </is>
      </c>
      <c r="F47" s="14" t="inlineStr">
        <is>
          <t>Working time rules — CONTRACT_CLEANING / AREA_B — ordinary hours per day 5day</t>
        </is>
      </c>
      <c r="G47" s="15" t="inlineStr">
        <is>
          <t>9,00</t>
        </is>
      </c>
      <c r="H47" s="15" t="inlineStr">
        <is>
          <t>2026-04-01</t>
        </is>
      </c>
      <c r="I47" s="15" t="inlineStr"/>
      <c r="J47" s="15" t="inlineStr">
        <is>
          <t>working_time_rule_set:4:ordinary_hours_per_day_5day</t>
        </is>
      </c>
    </row>
    <row r="48">
      <c r="A48" s="14" t="inlineStr">
        <is>
          <t>Bargaining Council for the Contract Cleaning Services Industry (KwaZulu-Natal) Main Collective Agreement, GN R.7296 in Government Gazette 54412, 27 March 2026</t>
        </is>
      </c>
      <c r="B48" s="14" t="inlineStr">
        <is>
          <t>clauses 3, 4.3, 5, 8, 11, 16 and 17</t>
        </is>
      </c>
      <c r="C48" s="15" t="inlineStr"/>
      <c r="D48" s="12" t="inlineStr">
        <is>
          <t>REF-2026.04.01-BCCCI-RULES-r2</t>
        </is>
      </c>
      <c r="E48" s="15" t="inlineStr">
        <is>
          <t>working_time_rule_set</t>
        </is>
      </c>
      <c r="F48" s="14" t="inlineStr">
        <is>
          <t>Working time rules — CONTRACT_CLEANING / AREA_B — ordinary hours per day 6day</t>
        </is>
      </c>
      <c r="G48" s="15" t="inlineStr">
        <is>
          <t>8,00</t>
        </is>
      </c>
      <c r="H48" s="15" t="inlineStr">
        <is>
          <t>2026-04-01</t>
        </is>
      </c>
      <c r="I48" s="15" t="inlineStr"/>
      <c r="J48" s="15" t="inlineStr">
        <is>
          <t>working_time_rule_set:4:ordinary_hours_per_day_6day</t>
        </is>
      </c>
    </row>
    <row r="49">
      <c r="A49" s="14" t="inlineStr">
        <is>
          <t>Bargaining Council for the Contract Cleaning Services Industry (KwaZulu-Natal) Main Collective Agreement, GN R.7296 in Government Gazette 54412, 27 March 2026</t>
        </is>
      </c>
      <c r="B49" s="14" t="inlineStr">
        <is>
          <t>clauses 3, 4.3, 5, 8, 11, 16 and 17</t>
        </is>
      </c>
      <c r="C49" s="15" t="inlineStr"/>
      <c r="D49" s="12" t="inlineStr">
        <is>
          <t>REF-2026.04.01-BCCCI-RULES-r2</t>
        </is>
      </c>
      <c r="E49" s="15" t="inlineStr">
        <is>
          <t>working_time_rule_set</t>
        </is>
      </c>
      <c r="F49" s="14" t="inlineStr">
        <is>
          <t>Working time rules — CONTRACT_CLEANING / AREA_B — ordinary hours per week</t>
        </is>
      </c>
      <c r="G49" s="15" t="inlineStr">
        <is>
          <t>45,00</t>
        </is>
      </c>
      <c r="H49" s="15" t="inlineStr">
        <is>
          <t>2026-04-01</t>
        </is>
      </c>
      <c r="I49" s="15" t="inlineStr"/>
      <c r="J49" s="15" t="inlineStr">
        <is>
          <t>working_time_rule_set:4:ordinary_hours_per_week</t>
        </is>
      </c>
    </row>
    <row r="50">
      <c r="A50" s="14" t="inlineStr">
        <is>
          <t>Bargaining Council for the Contract Cleaning Services Industry (KwaZulu-Natal) Main Collective Agreement, GN R.7296 in Government Gazette 54412, 27 March 2026</t>
        </is>
      </c>
      <c r="B50" s="14" t="inlineStr">
        <is>
          <t>clauses 3, 4.3, 5, 8, 11, 16 and 17</t>
        </is>
      </c>
      <c r="C50" s="15" t="inlineStr"/>
      <c r="D50" s="12" t="inlineStr">
        <is>
          <t>REF-2026.04.01-BCCCI-RULES-r2</t>
        </is>
      </c>
      <c r="E50" s="15" t="inlineStr">
        <is>
          <t>working_time_rule_set</t>
        </is>
      </c>
      <c r="F50" s="14" t="inlineStr">
        <is>
          <t>Working time rules — CONTRACT_CLEANING / AREA_B — overtime multiplier</t>
        </is>
      </c>
      <c r="G50" s="15" t="inlineStr">
        <is>
          <t>1,500</t>
        </is>
      </c>
      <c r="H50" s="15" t="inlineStr">
        <is>
          <t>2026-04-01</t>
        </is>
      </c>
      <c r="I50" s="15" t="inlineStr"/>
      <c r="J50" s="15" t="inlineStr">
        <is>
          <t>working_time_rule_set:4:overtime_multiplier</t>
        </is>
      </c>
    </row>
    <row r="51">
      <c r="A51" s="14" t="inlineStr">
        <is>
          <t>Bargaining Council for the Contract Cleaning Services Industry (KwaZulu-Natal) Main Collective Agreement, GN R.7296 in Government Gazette 54412, 27 March 2026</t>
        </is>
      </c>
      <c r="B51" s="14" t="inlineStr">
        <is>
          <t>clauses 3, 4.3, 5, 8, 11, 16 and 17</t>
        </is>
      </c>
      <c r="C51" s="15" t="inlineStr"/>
      <c r="D51" s="12" t="inlineStr">
        <is>
          <t>REF-2026.04.01-BCCCI-RULES-r2</t>
        </is>
      </c>
      <c r="E51" s="15" t="inlineStr">
        <is>
          <t>working_time_rule_set</t>
        </is>
      </c>
      <c r="F51" s="14" t="inlineStr">
        <is>
          <t>Working time rules — CONTRACT_CLEANING / AREA_B — public holiday not worked paid</t>
        </is>
      </c>
      <c r="G51" s="15" t="inlineStr">
        <is>
          <t>Yes</t>
        </is>
      </c>
      <c r="H51" s="15" t="inlineStr">
        <is>
          <t>2026-04-01</t>
        </is>
      </c>
      <c r="I51" s="15" t="inlineStr"/>
      <c r="J51" s="15" t="inlineStr">
        <is>
          <t>working_time_rule_set:4:public_holiday_not_worked_paid</t>
        </is>
      </c>
    </row>
    <row r="52">
      <c r="A52" s="14" t="inlineStr">
        <is>
          <t>Bargaining Council for the Contract Cleaning Services Industry (KwaZulu-Natal) Main Collective Agreement, GN R.7296 in Government Gazette 54412, 27 March 2026</t>
        </is>
      </c>
      <c r="B52" s="14" t="inlineStr">
        <is>
          <t>clauses 3, 4.3, 5, 8, 11, 16 and 17</t>
        </is>
      </c>
      <c r="C52" s="15" t="inlineStr"/>
      <c r="D52" s="12" t="inlineStr">
        <is>
          <t>REF-2026.04.01-BCCCI-RULES-r2</t>
        </is>
      </c>
      <c r="E52" s="15" t="inlineStr">
        <is>
          <t>working_time_rule_set</t>
        </is>
      </c>
      <c r="F52" s="14" t="inlineStr">
        <is>
          <t>Working time rules — CONTRACT_CLEANING / AREA_B — public holiday worked multiplier</t>
        </is>
      </c>
      <c r="G52" s="15" t="inlineStr">
        <is>
          <t>2,000</t>
        </is>
      </c>
      <c r="H52" s="15" t="inlineStr">
        <is>
          <t>2026-04-01</t>
        </is>
      </c>
      <c r="I52" s="15" t="inlineStr"/>
      <c r="J52" s="15" t="inlineStr">
        <is>
          <t>working_time_rule_set:4:public_holiday_worked_multiplier</t>
        </is>
      </c>
    </row>
    <row r="53">
      <c r="A53" s="14" t="inlineStr">
        <is>
          <t>Bargaining Council for the Contract Cleaning Services Industry (KwaZulu-Natal) Main Collective Agreement, GN R.7296 in Government Gazette 54412, 27 March 2026</t>
        </is>
      </c>
      <c r="B53" s="14" t="inlineStr">
        <is>
          <t>clauses 3, 4.3, 5, 8, 11, 16 and 17</t>
        </is>
      </c>
      <c r="C53" s="15" t="inlineStr"/>
      <c r="D53" s="12" t="inlineStr">
        <is>
          <t>REF-2026.04.01-BCCCI-RULES-r2</t>
        </is>
      </c>
      <c r="E53" s="15" t="inlineStr">
        <is>
          <t>working_time_rule_set</t>
        </is>
      </c>
      <c r="F53" s="14" t="inlineStr">
        <is>
          <t>Working time rules — CONTRACT_CLEANING / AREA_B — standby allowance per shift</t>
        </is>
      </c>
      <c r="G53" s="15" t="inlineStr">
        <is>
          <t>R 0,00</t>
        </is>
      </c>
      <c r="H53" s="15" t="inlineStr">
        <is>
          <t>2026-04-01</t>
        </is>
      </c>
      <c r="I53" s="15" t="inlineStr"/>
      <c r="J53" s="15" t="inlineStr">
        <is>
          <t>working_time_rule_set:4:standby_allowance_per_shift</t>
        </is>
      </c>
    </row>
    <row r="54">
      <c r="A54" s="14" t="inlineStr">
        <is>
          <t>Bargaining Council for the Contract Cleaning Services Industry (KwaZulu-Natal) Main Collective Agreement, GN R.7296 in Government Gazette 54412, 27 March 2026</t>
        </is>
      </c>
      <c r="B54" s="14" t="inlineStr">
        <is>
          <t>clauses 3, 4.3, 5, 8, 11, 16 and 17</t>
        </is>
      </c>
      <c r="C54" s="15" t="inlineStr"/>
      <c r="D54" s="12" t="inlineStr">
        <is>
          <t>REF-2026.04.01-BCCCI-RULES-r2</t>
        </is>
      </c>
      <c r="E54" s="15" t="inlineStr">
        <is>
          <t>working_time_rule_set</t>
        </is>
      </c>
      <c r="F54" s="14" t="inlineStr">
        <is>
          <t>Working time rules — CONTRACT_CLEANING / AREA_B — standby hours before overtime</t>
        </is>
      </c>
      <c r="G54" s="15" t="inlineStr">
        <is>
          <t>0,00</t>
        </is>
      </c>
      <c r="H54" s="15" t="inlineStr">
        <is>
          <t>2026-04-01</t>
        </is>
      </c>
      <c r="I54" s="15" t="inlineStr"/>
      <c r="J54" s="15" t="inlineStr">
        <is>
          <t>working_time_rule_set:4:standby_hours_before_overtime</t>
        </is>
      </c>
    </row>
    <row r="55">
      <c r="A55" s="14" t="inlineStr">
        <is>
          <t>Bargaining Council for the Contract Cleaning Services Industry (KwaZulu-Natal) Main Collective Agreement, GN R.7296 in Government Gazette 54412, 27 March 2026</t>
        </is>
      </c>
      <c r="B55" s="14" t="inlineStr">
        <is>
          <t>clauses 3, 4.3, 5, 8, 11, 16 and 17</t>
        </is>
      </c>
      <c r="C55" s="15" t="inlineStr"/>
      <c r="D55" s="12" t="inlineStr">
        <is>
          <t>REF-2026.04.01-BCCCI-RULES-r2</t>
        </is>
      </c>
      <c r="E55" s="15" t="inlineStr">
        <is>
          <t>working_time_rule_set</t>
        </is>
      </c>
      <c r="F55" s="14" t="inlineStr">
        <is>
          <t>Working time rules — CONTRACT_CLEANING / AREA_B — standby window end</t>
        </is>
      </c>
      <c r="G55" s="15" t="inlineStr">
        <is>
          <t>00:00:00</t>
        </is>
      </c>
      <c r="H55" s="15" t="inlineStr">
        <is>
          <t>2026-04-01</t>
        </is>
      </c>
      <c r="I55" s="15" t="inlineStr"/>
      <c r="J55" s="15" t="inlineStr">
        <is>
          <t>working_time_rule_set:4:standby_window_end</t>
        </is>
      </c>
    </row>
    <row r="56">
      <c r="A56" s="14" t="inlineStr">
        <is>
          <t>Bargaining Council for the Contract Cleaning Services Industry (KwaZulu-Natal) Main Collective Agreement, GN R.7296 in Government Gazette 54412, 27 March 2026</t>
        </is>
      </c>
      <c r="B56" s="14" t="inlineStr">
        <is>
          <t>clauses 3, 4.3, 5, 8, 11, 16 and 17</t>
        </is>
      </c>
      <c r="C56" s="15" t="inlineStr"/>
      <c r="D56" s="12" t="inlineStr">
        <is>
          <t>REF-2026.04.01-BCCCI-RULES-r2</t>
        </is>
      </c>
      <c r="E56" s="15" t="inlineStr">
        <is>
          <t>working_time_rule_set</t>
        </is>
      </c>
      <c r="F56" s="14" t="inlineStr">
        <is>
          <t>Working time rules — CONTRACT_CLEANING / AREA_B — standby window start</t>
        </is>
      </c>
      <c r="G56" s="15" t="inlineStr">
        <is>
          <t>00:00:00</t>
        </is>
      </c>
      <c r="H56" s="15" t="inlineStr">
        <is>
          <t>2026-04-01</t>
        </is>
      </c>
      <c r="I56" s="15" t="inlineStr"/>
      <c r="J56" s="15" t="inlineStr">
        <is>
          <t>working_time_rule_set:4:standby_window_start</t>
        </is>
      </c>
    </row>
    <row r="57">
      <c r="A57" s="14" t="inlineStr">
        <is>
          <t>Bargaining Council for the Contract Cleaning Services Industry (KwaZulu-Natal) Main Collective Agreement, GN R.7296 in Government Gazette 54412, 27 March 2026</t>
        </is>
      </c>
      <c r="B57" s="14" t="inlineStr">
        <is>
          <t>clauses 3, 4.3, 5, 8, 11, 16 and 17</t>
        </is>
      </c>
      <c r="C57" s="15" t="inlineStr"/>
      <c r="D57" s="12" t="inlineStr">
        <is>
          <t>REF-2026.04.01-BCCCI-RULES-r2</t>
        </is>
      </c>
      <c r="E57" s="15" t="inlineStr">
        <is>
          <t>working_time_rule_set</t>
        </is>
      </c>
      <c r="F57" s="14" t="inlineStr">
        <is>
          <t>Working time rules — CONTRACT_CLEANING / AREA_B — sunday multiplier non ordinary</t>
        </is>
      </c>
      <c r="G57" s="15" t="inlineStr">
        <is>
          <t>2,000</t>
        </is>
      </c>
      <c r="H57" s="15" t="inlineStr">
        <is>
          <t>2026-04-01</t>
        </is>
      </c>
      <c r="I57" s="15" t="inlineStr"/>
      <c r="J57" s="15" t="inlineStr">
        <is>
          <t>working_time_rule_set:4:sunday_multiplier_non_ordinary</t>
        </is>
      </c>
    </row>
    <row r="58">
      <c r="A58" s="14" t="inlineStr">
        <is>
          <t>Bargaining Council for the Contract Cleaning Services Industry (KwaZulu-Natal) Main Collective Agreement, GN R.7296 in Government Gazette 54412, 27 March 2026</t>
        </is>
      </c>
      <c r="B58" s="14" t="inlineStr">
        <is>
          <t>clauses 3, 4.3, 5, 8, 11, 16 and 17</t>
        </is>
      </c>
      <c r="C58" s="15" t="inlineStr"/>
      <c r="D58" s="12" t="inlineStr">
        <is>
          <t>REF-2026.04.01-BCCCI-RULES-r2</t>
        </is>
      </c>
      <c r="E58" s="15" t="inlineStr">
        <is>
          <t>working_time_rule_set</t>
        </is>
      </c>
      <c r="F58" s="14" t="inlineStr">
        <is>
          <t>Working time rules — CONTRACT_CLEANING / AREA_B — sunday multiplier ordinary</t>
        </is>
      </c>
      <c r="G58" s="15" t="inlineStr">
        <is>
          <t>1,500</t>
        </is>
      </c>
      <c r="H58" s="15" t="inlineStr">
        <is>
          <t>2026-04-01</t>
        </is>
      </c>
      <c r="I58" s="15" t="inlineStr"/>
      <c r="J58" s="15" t="inlineStr">
        <is>
          <t>working_time_rule_set:4:sunday_multiplier_ordinary</t>
        </is>
      </c>
    </row>
    <row r="59">
      <c r="A59" s="14" t="inlineStr">
        <is>
          <t>Bargaining Council for the Contract Cleaning Services Industry (KwaZulu-Natal) Main Collective Agreement, GN R.7296 in Government Gazette 54412, 27 March 2026</t>
        </is>
      </c>
      <c r="B59" s="14" t="inlineStr">
        <is>
          <t>clauses 3, 4.3, 5, 8, 11, 16 and 17</t>
        </is>
      </c>
      <c r="C59" s="15" t="inlineStr"/>
      <c r="D59" s="12" t="inlineStr">
        <is>
          <t>REF-2026.04.01-BCCCI-RULES-r2</t>
        </is>
      </c>
      <c r="E59" s="15" t="inlineStr">
        <is>
          <t>working_time_rule_set</t>
        </is>
      </c>
      <c r="F59" s="14" t="inlineStr">
        <is>
          <t>Working time rules — CONTRACT_CLEANING / AREA_B — weekly rest hours</t>
        </is>
      </c>
      <c r="G59" s="15" t="inlineStr">
        <is>
          <t>36</t>
        </is>
      </c>
      <c r="H59" s="15" t="inlineStr">
        <is>
          <t>2026-04-01</t>
        </is>
      </c>
      <c r="I59" s="15" t="inlineStr"/>
      <c r="J59" s="15" t="inlineStr">
        <is>
          <t>working_time_rule_set:4:weekly_rest_hours</t>
        </is>
      </c>
    </row>
    <row r="60">
      <c r="A60" s="14" t="inlineStr">
        <is>
          <t>Bargaining Council for the Contract Cleaning Services Industry (KwaZulu-Natal) Main Collective Agreement, GN R.7296 in Government Gazette 54412, 27 March 2026</t>
        </is>
      </c>
      <c r="B60" s="14" t="inlineStr">
        <is>
          <t>clauses 4.5, 29, 30 and 36</t>
        </is>
      </c>
      <c r="C60" s="15" t="inlineStr"/>
      <c r="D60" s="12" t="inlineStr">
        <is>
          <t>REF-2026.04.01-BCCCI-RULES-r2</t>
        </is>
      </c>
      <c r="E60" s="15" t="inlineStr">
        <is>
          <t>termination_rule_set</t>
        </is>
      </c>
      <c r="F60" s="14" t="inlineStr">
        <is>
          <t>Termination rules — CONTRACT_CLEANING / AREA_B — annual bonus min service months</t>
        </is>
      </c>
      <c r="G60" s="15" t="inlineStr">
        <is>
          <t>0</t>
        </is>
      </c>
      <c r="H60" s="15" t="inlineStr">
        <is>
          <t>2026-04-01</t>
        </is>
      </c>
      <c r="I60" s="15" t="inlineStr"/>
      <c r="J60" s="15" t="inlineStr">
        <is>
          <t>termination_rule_set:4:annual_bonus_min_service_months</t>
        </is>
      </c>
    </row>
    <row r="61">
      <c r="A61" s="14" t="inlineStr">
        <is>
          <t>Bargaining Council for the Contract Cleaning Services Industry (KwaZulu-Natal) Main Collective Agreement, GN R.7296 in Government Gazette 54412, 27 March 2026</t>
        </is>
      </c>
      <c r="B61" s="14" t="inlineStr">
        <is>
          <t>clauses 4.5, 29, 30 and 36</t>
        </is>
      </c>
      <c r="C61" s="15" t="inlineStr"/>
      <c r="D61" s="12" t="inlineStr">
        <is>
          <t>REF-2026.04.01-BCCCI-RULES-r2</t>
        </is>
      </c>
      <c r="E61" s="15" t="inlineStr">
        <is>
          <t>termination_rule_set</t>
        </is>
      </c>
      <c r="F61" s="14" t="inlineStr">
        <is>
          <t>Termination rules — CONTRACT_CLEANING / AREA_B — annual bonus month</t>
        </is>
      </c>
      <c r="G61" s="15" t="inlineStr">
        <is>
          <t>12</t>
        </is>
      </c>
      <c r="H61" s="15" t="inlineStr">
        <is>
          <t>2026-04-01</t>
        </is>
      </c>
      <c r="I61" s="15" t="inlineStr"/>
      <c r="J61" s="15" t="inlineStr">
        <is>
          <t>termination_rule_set:4:annual_bonus_month</t>
        </is>
      </c>
    </row>
    <row r="62">
      <c r="A62" s="14" t="inlineStr">
        <is>
          <t>Bargaining Council for the Contract Cleaning Services Industry (KwaZulu-Natal) Main Collective Agreement, GN R.7296 in Government Gazette 54412, 27 March 2026</t>
        </is>
      </c>
      <c r="B62" s="14" t="inlineStr">
        <is>
          <t>clauses 4.5, 29, 30 and 36</t>
        </is>
      </c>
      <c r="C62" s="15" t="inlineStr"/>
      <c r="D62" s="12" t="inlineStr">
        <is>
          <t>REF-2026.04.01-BCCCI-RULES-r2</t>
        </is>
      </c>
      <c r="E62" s="15" t="inlineStr">
        <is>
          <t>termination_rule_set</t>
        </is>
      </c>
      <c r="F62" s="14" t="inlineStr">
        <is>
          <t>Termination rules — CONTRACT_CLEANING / AREA_B — annual bonus pro rata on termination</t>
        </is>
      </c>
      <c r="G62" s="15" t="inlineStr">
        <is>
          <t>Yes</t>
        </is>
      </c>
      <c r="H62" s="15" t="inlineStr">
        <is>
          <t>2026-04-01</t>
        </is>
      </c>
      <c r="I62" s="15" t="inlineStr"/>
      <c r="J62" s="15" t="inlineStr">
        <is>
          <t>termination_rule_set:4:annual_bonus_pro_rata_on_termination</t>
        </is>
      </c>
    </row>
    <row r="63">
      <c r="A63" s="14" t="inlineStr">
        <is>
          <t>Bargaining Council for the Contract Cleaning Services Industry (KwaZulu-Natal) Main Collective Agreement, GN R.7296 in Government Gazette 54412, 27 March 2026</t>
        </is>
      </c>
      <c r="B63" s="14" t="inlineStr">
        <is>
          <t>clauses 4.5, 29, 30 and 36</t>
        </is>
      </c>
      <c r="C63" s="15" t="inlineStr"/>
      <c r="D63" s="12" t="inlineStr">
        <is>
          <t>REF-2026.04.01-BCCCI-RULES-r2</t>
        </is>
      </c>
      <c r="E63" s="15" t="inlineStr">
        <is>
          <t>termination_rule_set</t>
        </is>
      </c>
      <c r="F63" s="14" t="inlineStr">
        <is>
          <t>Termination rules — CONTRACT_CLEANING / AREA_B — annual bonus weeks</t>
        </is>
      </c>
      <c r="G63" s="15" t="inlineStr">
        <is>
          <t>4,330</t>
        </is>
      </c>
      <c r="H63" s="15" t="inlineStr">
        <is>
          <t>2026-04-01</t>
        </is>
      </c>
      <c r="I63" s="15" t="inlineStr"/>
      <c r="J63" s="15" t="inlineStr">
        <is>
          <t>termination_rule_set:4:annual_bonus_weeks</t>
        </is>
      </c>
    </row>
    <row r="64">
      <c r="A64" s="14" t="inlineStr">
        <is>
          <t>Bargaining Council for the Contract Cleaning Services Industry (KwaZulu-Natal) Main Collective Agreement, GN R.7296 in Government Gazette 54412, 27 March 2026</t>
        </is>
      </c>
      <c r="B64" s="14" t="inlineStr">
        <is>
          <t>clauses 4.5, 29, 30 and 36</t>
        </is>
      </c>
      <c r="C64" s="15" t="inlineStr"/>
      <c r="D64" s="12" t="inlineStr">
        <is>
          <t>REF-2026.04.01-BCCCI-RULES-r2</t>
        </is>
      </c>
      <c r="E64" s="15" t="inlineStr">
        <is>
          <t>termination_rule_set</t>
        </is>
      </c>
      <c r="F64" s="14" t="inlineStr">
        <is>
          <t>Termination rules — CONTRACT_CLEANING / AREA_B — severance requires operational reason</t>
        </is>
      </c>
      <c r="G64" s="15" t="inlineStr">
        <is>
          <t>Yes</t>
        </is>
      </c>
      <c r="H64" s="15" t="inlineStr">
        <is>
          <t>2026-04-01</t>
        </is>
      </c>
      <c r="I64" s="15" t="inlineStr"/>
      <c r="J64" s="15" t="inlineStr">
        <is>
          <t>termination_rule_set:4:severance_requires_operational_reason</t>
        </is>
      </c>
    </row>
    <row r="65">
      <c r="A65" s="14" t="inlineStr">
        <is>
          <t>Bargaining Council for the Contract Cleaning Services Industry (KwaZulu-Natal) Main Collective Agreement, GN R.7296 in Government Gazette 54412, 27 March 2026</t>
        </is>
      </c>
      <c r="B65" s="14" t="inlineStr">
        <is>
          <t>clauses 4.5, 29, 30 and 36</t>
        </is>
      </c>
      <c r="C65" s="15" t="inlineStr"/>
      <c r="D65" s="12" t="inlineStr">
        <is>
          <t>REF-2026.04.01-BCCCI-RULES-r2</t>
        </is>
      </c>
      <c r="E65" s="15" t="inlineStr">
        <is>
          <t>termination_rule_set</t>
        </is>
      </c>
      <c r="F65" s="14" t="inlineStr">
        <is>
          <t>Termination rules — CONTRACT_CLEANING / AREA_B — severance weeks per completed year</t>
        </is>
      </c>
      <c r="G65" s="15" t="inlineStr">
        <is>
          <t>1,00</t>
        </is>
      </c>
      <c r="H65" s="15" t="inlineStr">
        <is>
          <t>2026-04-01</t>
        </is>
      </c>
      <c r="I65" s="15" t="inlineStr"/>
      <c r="J65" s="15" t="inlineStr">
        <is>
          <t>termination_rule_set:4:severance_weeks_per_completed_year</t>
        </is>
      </c>
    </row>
    <row r="66">
      <c r="A66" s="14" t="inlineStr">
        <is>
          <t>Bargaining Council for the Contract Cleaning Services Industry (KwaZulu-Natal) Main Collective Agreement, GN R.7296 in Government Gazette 54412, 27 March 2026</t>
        </is>
      </c>
      <c r="B66" s="14" t="inlineStr">
        <is>
          <t>clauses 9, 10 and 12</t>
        </is>
      </c>
      <c r="C66" s="15" t="inlineStr"/>
      <c r="D66" s="12" t="inlineStr">
        <is>
          <t>REF-2026.04.01-BCCCI-RULES-r2</t>
        </is>
      </c>
      <c r="E66" s="15" t="inlineStr">
        <is>
          <t>leave_rule_set</t>
        </is>
      </c>
      <c r="F66" s="14" t="inlineStr">
        <is>
          <t>Leave rules — CONTRACT_CLEANING / AREA_B — annual accrual days per month 5day</t>
        </is>
      </c>
      <c r="G66" s="15" t="inlineStr">
        <is>
          <t>1,250</t>
        </is>
      </c>
      <c r="H66" s="15" t="inlineStr">
        <is>
          <t>2026-04-01</t>
        </is>
      </c>
      <c r="I66" s="15" t="inlineStr"/>
      <c r="J66" s="15" t="inlineStr">
        <is>
          <t>leave_rule_set:4:annual_accrual_days_per_month_5day</t>
        </is>
      </c>
    </row>
    <row r="67">
      <c r="A67" s="14" t="inlineStr">
        <is>
          <t>Bargaining Council for the Contract Cleaning Services Industry (KwaZulu-Natal) Main Collective Agreement, GN R.7296 in Government Gazette 54412, 27 March 2026</t>
        </is>
      </c>
      <c r="B67" s="14" t="inlineStr">
        <is>
          <t>clauses 9, 10 and 12</t>
        </is>
      </c>
      <c r="C67" s="15" t="inlineStr"/>
      <c r="D67" s="12" t="inlineStr">
        <is>
          <t>REF-2026.04.01-BCCCI-RULES-r2</t>
        </is>
      </c>
      <c r="E67" s="15" t="inlineStr">
        <is>
          <t>leave_rule_set</t>
        </is>
      </c>
      <c r="F67" s="14" t="inlineStr">
        <is>
          <t>Leave rules — CONTRACT_CLEANING / AREA_B — annual accrual days per month 6day</t>
        </is>
      </c>
      <c r="G67" s="15" t="inlineStr">
        <is>
          <t>1,500</t>
        </is>
      </c>
      <c r="H67" s="15" t="inlineStr">
        <is>
          <t>2026-04-01</t>
        </is>
      </c>
      <c r="I67" s="15" t="inlineStr"/>
      <c r="J67" s="15" t="inlineStr">
        <is>
          <t>leave_rule_set:4:annual_accrual_days_per_month_6day</t>
        </is>
      </c>
    </row>
    <row r="68">
      <c r="A68" s="14" t="inlineStr">
        <is>
          <t>Bargaining Council for the Contract Cleaning Services Industry (KwaZulu-Natal) Main Collective Agreement, GN R.7296 in Government Gazette 54412, 27 March 2026</t>
        </is>
      </c>
      <c r="B68" s="14" t="inlineStr">
        <is>
          <t>clauses 9, 10 and 12</t>
        </is>
      </c>
      <c r="C68" s="15" t="inlineStr"/>
      <c r="D68" s="12" t="inlineStr">
        <is>
          <t>REF-2026.04.01-BCCCI-RULES-r2</t>
        </is>
      </c>
      <c r="E68" s="15" t="inlineStr">
        <is>
          <t>leave_rule_set</t>
        </is>
      </c>
      <c r="F68" s="14" t="inlineStr">
        <is>
          <t>Leave rules — CONTRACT_CLEANING / AREA_B — annual accrual ratio days worked</t>
        </is>
      </c>
      <c r="G68" s="15" t="inlineStr">
        <is>
          <t>17</t>
        </is>
      </c>
      <c r="H68" s="15" t="inlineStr">
        <is>
          <t>2026-04-01</t>
        </is>
      </c>
      <c r="I68" s="15" t="inlineStr"/>
      <c r="J68" s="15" t="inlineStr">
        <is>
          <t>leave_rule_set:4:annual_accrual_ratio_days_worked</t>
        </is>
      </c>
    </row>
    <row r="69">
      <c r="A69" s="14" t="inlineStr">
        <is>
          <t>Bargaining Council for the Contract Cleaning Services Industry (KwaZulu-Natal) Main Collective Agreement, GN R.7296 in Government Gazette 54412, 27 March 2026</t>
        </is>
      </c>
      <c r="B69" s="14" t="inlineStr">
        <is>
          <t>clauses 9, 10 and 12</t>
        </is>
      </c>
      <c r="C69" s="15" t="inlineStr"/>
      <c r="D69" s="12" t="inlineStr">
        <is>
          <t>REF-2026.04.01-BCCCI-RULES-r2</t>
        </is>
      </c>
      <c r="E69" s="15" t="inlineStr">
        <is>
          <t>leave_rule_set</t>
        </is>
      </c>
      <c r="F69" s="14" t="inlineStr">
        <is>
          <t>Leave rules — CONTRACT_CLEANING / AREA_B — annual accrual ratio hours worked</t>
        </is>
      </c>
      <c r="G69" s="15" t="inlineStr">
        <is>
          <t>17</t>
        </is>
      </c>
      <c r="H69" s="15" t="inlineStr">
        <is>
          <t>2026-04-01</t>
        </is>
      </c>
      <c r="I69" s="15" t="inlineStr"/>
      <c r="J69" s="15" t="inlineStr">
        <is>
          <t>leave_rule_set:4:annual_accrual_ratio_hours_worked</t>
        </is>
      </c>
    </row>
    <row r="70">
      <c r="A70" s="14" t="inlineStr">
        <is>
          <t>Bargaining Council for the Contract Cleaning Services Industry (KwaZulu-Natal) Main Collective Agreement, GN R.7296 in Government Gazette 54412, 27 March 2026</t>
        </is>
      </c>
      <c r="B70" s="14" t="inlineStr">
        <is>
          <t>clauses 9, 10 and 12</t>
        </is>
      </c>
      <c r="C70" s="15" t="inlineStr"/>
      <c r="D70" s="12" t="inlineStr">
        <is>
          <t>REF-2026.04.01-BCCCI-RULES-r2</t>
        </is>
      </c>
      <c r="E70" s="15" t="inlineStr">
        <is>
          <t>leave_rule_set</t>
        </is>
      </c>
      <c r="F70" s="14" t="inlineStr">
        <is>
          <t>Leave rules — CONTRACT_CLEANING / AREA_B — annual leave cycle months</t>
        </is>
      </c>
      <c r="G70" s="15" t="inlineStr">
        <is>
          <t>12</t>
        </is>
      </c>
      <c r="H70" s="15" t="inlineStr">
        <is>
          <t>2026-04-01</t>
        </is>
      </c>
      <c r="I70" s="15" t="inlineStr"/>
      <c r="J70" s="15" t="inlineStr">
        <is>
          <t>leave_rule_set:4:annual_leave_cycle_months</t>
        </is>
      </c>
    </row>
    <row r="71">
      <c r="A71" s="14" t="inlineStr">
        <is>
          <t>Bargaining Council for the Contract Cleaning Services Industry (KwaZulu-Natal) Main Collective Agreement, GN R.7296 in Government Gazette 54412, 27 March 2026</t>
        </is>
      </c>
      <c r="B71" s="14" t="inlineStr">
        <is>
          <t>clauses 9, 10 and 12</t>
        </is>
      </c>
      <c r="C71" s="15" t="inlineStr"/>
      <c r="D71" s="12" t="inlineStr">
        <is>
          <t>REF-2026.04.01-BCCCI-RULES-r2</t>
        </is>
      </c>
      <c r="E71" s="15" t="inlineStr">
        <is>
          <t>leave_rule_set</t>
        </is>
      </c>
      <c r="F71" s="14" t="inlineStr">
        <is>
          <t>Leave rules — CONTRACT_CLEANING / AREA_B — annual leave days per cycle 5day</t>
        </is>
      </c>
      <c r="G71" s="15" t="inlineStr">
        <is>
          <t>15,000</t>
        </is>
      </c>
      <c r="H71" s="15" t="inlineStr">
        <is>
          <t>2026-04-01</t>
        </is>
      </c>
      <c r="I71" s="15" t="inlineStr"/>
      <c r="J71" s="15" t="inlineStr">
        <is>
          <t>leave_rule_set:4:annual_leave_days_per_cycle_5day</t>
        </is>
      </c>
    </row>
    <row r="72">
      <c r="A72" s="14" t="inlineStr">
        <is>
          <t>Bargaining Council for the Contract Cleaning Services Industry (KwaZulu-Natal) Main Collective Agreement, GN R.7296 in Government Gazette 54412, 27 March 2026</t>
        </is>
      </c>
      <c r="B72" s="14" t="inlineStr">
        <is>
          <t>clauses 9, 10 and 12</t>
        </is>
      </c>
      <c r="C72" s="15" t="inlineStr"/>
      <c r="D72" s="12" t="inlineStr">
        <is>
          <t>REF-2026.04.01-BCCCI-RULES-r2</t>
        </is>
      </c>
      <c r="E72" s="15" t="inlineStr">
        <is>
          <t>leave_rule_set</t>
        </is>
      </c>
      <c r="F72" s="14" t="inlineStr">
        <is>
          <t>Leave rules — CONTRACT_CLEANING / AREA_B — annual leave days per cycle 6day</t>
        </is>
      </c>
      <c r="G72" s="15" t="inlineStr">
        <is>
          <t>18,000</t>
        </is>
      </c>
      <c r="H72" s="15" t="inlineStr">
        <is>
          <t>2026-04-01</t>
        </is>
      </c>
      <c r="I72" s="15" t="inlineStr"/>
      <c r="J72" s="15" t="inlineStr">
        <is>
          <t>leave_rule_set:4:annual_leave_days_per_cycle_6day</t>
        </is>
      </c>
    </row>
    <row r="73">
      <c r="A73" s="14" t="inlineStr">
        <is>
          <t>Bargaining Council for the Contract Cleaning Services Industry (KwaZulu-Natal) Main Collective Agreement, GN R.7296 in Government Gazette 54412, 27 March 2026</t>
        </is>
      </c>
      <c r="B73" s="14" t="inlineStr">
        <is>
          <t>clauses 9, 10 and 12</t>
        </is>
      </c>
      <c r="C73" s="15" t="inlineStr"/>
      <c r="D73" s="12" t="inlineStr">
        <is>
          <t>REF-2026.04.01-BCCCI-RULES-r2</t>
        </is>
      </c>
      <c r="E73" s="15" t="inlineStr">
        <is>
          <t>leave_rule_set</t>
        </is>
      </c>
      <c r="F73" s="14" t="inlineStr">
        <is>
          <t>Leave rules — CONTRACT_CLEANING / AREA_B — annual leave forfeit months</t>
        </is>
      </c>
      <c r="G73" s="15" t="inlineStr">
        <is>
          <t>6</t>
        </is>
      </c>
      <c r="H73" s="15" t="inlineStr">
        <is>
          <t>2026-04-01</t>
        </is>
      </c>
      <c r="I73" s="15" t="inlineStr"/>
      <c r="J73" s="15" t="inlineStr">
        <is>
          <t>leave_rule_set:4:annual_leave_forfeit_months</t>
        </is>
      </c>
    </row>
    <row r="74">
      <c r="A74" s="14" t="inlineStr">
        <is>
          <t>Bargaining Council for the Contract Cleaning Services Industry (KwaZulu-Natal) Main Collective Agreement, GN R.7296 in Government Gazette 54412, 27 March 2026</t>
        </is>
      </c>
      <c r="B74" s="14" t="inlineStr">
        <is>
          <t>clauses 9, 10 and 12</t>
        </is>
      </c>
      <c r="C74" s="15" t="inlineStr"/>
      <c r="D74" s="12" t="inlineStr">
        <is>
          <t>REF-2026.04.01-BCCCI-RULES-r2</t>
        </is>
      </c>
      <c r="E74" s="15" t="inlineStr">
        <is>
          <t>leave_rule_set</t>
        </is>
      </c>
      <c r="F74" s="14" t="inlineStr">
        <is>
          <t>Leave rules — CONTRACT_CLEANING / AREA_B — annual leave payable on termination</t>
        </is>
      </c>
      <c r="G74" s="15" t="inlineStr">
        <is>
          <t>Yes</t>
        </is>
      </c>
      <c r="H74" s="15" t="inlineStr">
        <is>
          <t>2026-04-01</t>
        </is>
      </c>
      <c r="I74" s="15" t="inlineStr"/>
      <c r="J74" s="15" t="inlineStr">
        <is>
          <t>leave_rule_set:4:annual_leave_payable_on_termination</t>
        </is>
      </c>
    </row>
    <row r="75">
      <c r="A75" s="14" t="inlineStr">
        <is>
          <t>Bargaining Council for the Contract Cleaning Services Industry (KwaZulu-Natal) Main Collective Agreement, GN R.7296 in Government Gazette 54412, 27 March 2026</t>
        </is>
      </c>
      <c r="B75" s="14" t="inlineStr">
        <is>
          <t>clauses 9, 10 and 12</t>
        </is>
      </c>
      <c r="C75" s="15" t="inlineStr"/>
      <c r="D75" s="12" t="inlineStr">
        <is>
          <t>REF-2026.04.01-BCCCI-RULES-r2</t>
        </is>
      </c>
      <c r="E75" s="15" t="inlineStr">
        <is>
          <t>leave_rule_set</t>
        </is>
      </c>
      <c r="F75" s="14" t="inlineStr">
        <is>
          <t>Leave rules — CONTRACT_CLEANING / AREA_B — family resp min days per week</t>
        </is>
      </c>
      <c r="G75" s="15" t="inlineStr">
        <is>
          <t>4</t>
        </is>
      </c>
      <c r="H75" s="15" t="inlineStr">
        <is>
          <t>2026-04-01</t>
        </is>
      </c>
      <c r="I75" s="15" t="inlineStr"/>
      <c r="J75" s="15" t="inlineStr">
        <is>
          <t>leave_rule_set:4:family_resp_min_days_per_week</t>
        </is>
      </c>
    </row>
    <row r="76">
      <c r="A76" s="14" t="inlineStr">
        <is>
          <t>Bargaining Council for the Contract Cleaning Services Industry (KwaZulu-Natal) Main Collective Agreement, GN R.7296 in Government Gazette 54412, 27 March 2026</t>
        </is>
      </c>
      <c r="B76" s="14" t="inlineStr">
        <is>
          <t>clauses 9, 10 and 12</t>
        </is>
      </c>
      <c r="C76" s="15" t="inlineStr"/>
      <c r="D76" s="12" t="inlineStr">
        <is>
          <t>REF-2026.04.01-BCCCI-RULES-r2</t>
        </is>
      </c>
      <c r="E76" s="15" t="inlineStr">
        <is>
          <t>leave_rule_set</t>
        </is>
      </c>
      <c r="F76" s="14" t="inlineStr">
        <is>
          <t>Leave rules — CONTRACT_CLEANING / AREA_B — family resp min service months</t>
        </is>
      </c>
      <c r="G76" s="15" t="inlineStr">
        <is>
          <t>4</t>
        </is>
      </c>
      <c r="H76" s="15" t="inlineStr">
        <is>
          <t>2026-04-01</t>
        </is>
      </c>
      <c r="I76" s="15" t="inlineStr"/>
      <c r="J76" s="15" t="inlineStr">
        <is>
          <t>leave_rule_set:4:family_resp_min_service_months</t>
        </is>
      </c>
    </row>
    <row r="77">
      <c r="A77" s="14" t="inlineStr">
        <is>
          <t>Bargaining Council for the Contract Cleaning Services Industry (KwaZulu-Natal) Main Collective Agreement, GN R.7296 in Government Gazette 54412, 27 March 2026</t>
        </is>
      </c>
      <c r="B77" s="14" t="inlineStr">
        <is>
          <t>clauses 9, 10 and 12</t>
        </is>
      </c>
      <c r="C77" s="15" t="inlineStr"/>
      <c r="D77" s="12" t="inlineStr">
        <is>
          <t>REF-2026.04.01-BCCCI-RULES-r2</t>
        </is>
      </c>
      <c r="E77" s="15" t="inlineStr">
        <is>
          <t>leave_rule_set</t>
        </is>
      </c>
      <c r="F77" s="14" t="inlineStr">
        <is>
          <t>Leave rules — CONTRACT_CLEANING / AREA_B — family responsibility days</t>
        </is>
      </c>
      <c r="G77" s="15" t="inlineStr">
        <is>
          <t>3</t>
        </is>
      </c>
      <c r="H77" s="15" t="inlineStr">
        <is>
          <t>2026-04-01</t>
        </is>
      </c>
      <c r="I77" s="15" t="inlineStr"/>
      <c r="J77" s="15" t="inlineStr">
        <is>
          <t>leave_rule_set:4:family_responsibility_days</t>
        </is>
      </c>
    </row>
    <row r="78">
      <c r="A78" s="14" t="inlineStr">
        <is>
          <t>Bargaining Council for the Contract Cleaning Services Industry (KwaZulu-Natal) Main Collective Agreement, GN R.7296 in Government Gazette 54412, 27 March 2026</t>
        </is>
      </c>
      <c r="B78" s="14" t="inlineStr">
        <is>
          <t>clauses 9, 10 and 12</t>
        </is>
      </c>
      <c r="C78" s="15" t="inlineStr"/>
      <c r="D78" s="12" t="inlineStr">
        <is>
          <t>REF-2026.04.01-BCCCI-RULES-r2</t>
        </is>
      </c>
      <c r="E78" s="15" t="inlineStr">
        <is>
          <t>leave_rule_set</t>
        </is>
      </c>
      <c r="F78" s="14" t="inlineStr">
        <is>
          <t>Leave rules — CONTRACT_CLEANING / AREA_B — has long service annual leave</t>
        </is>
      </c>
      <c r="G78" s="15" t="inlineStr">
        <is>
          <t>Yes</t>
        </is>
      </c>
      <c r="H78" s="15" t="inlineStr">
        <is>
          <t>2026-04-01</t>
        </is>
      </c>
      <c r="I78" s="15" t="inlineStr"/>
      <c r="J78" s="15" t="inlineStr">
        <is>
          <t>leave_rule_set:4:has_long_service_annual_leave</t>
        </is>
      </c>
    </row>
    <row r="79">
      <c r="A79" s="14" t="inlineStr">
        <is>
          <t>Bargaining Council for the Contract Cleaning Services Industry (KwaZulu-Natal) Main Collective Agreement, GN R.7296 in Government Gazette 54412, 27 March 2026</t>
        </is>
      </c>
      <c r="B79" s="14" t="inlineStr">
        <is>
          <t>clauses 9, 10 and 12</t>
        </is>
      </c>
      <c r="C79" s="15" t="inlineStr"/>
      <c r="D79" s="12" t="inlineStr">
        <is>
          <t>REF-2026.04.01-BCCCI-RULES-r2</t>
        </is>
      </c>
      <c r="E79" s="15" t="inlineStr">
        <is>
          <t>leave_rule_set</t>
        </is>
      </c>
      <c r="F79" s="14" t="inlineStr">
        <is>
          <t>Leave rules — CONTRACT_CLEANING / AREA_B — long service annual leave days 5day</t>
        </is>
      </c>
      <c r="G79" s="15" t="inlineStr">
        <is>
          <t>20,000</t>
        </is>
      </c>
      <c r="H79" s="15" t="inlineStr">
        <is>
          <t>2026-04-01</t>
        </is>
      </c>
      <c r="I79" s="15" t="inlineStr"/>
      <c r="J79" s="15" t="inlineStr">
        <is>
          <t>leave_rule_set:4:long_service_annual_leave_days_5day</t>
        </is>
      </c>
    </row>
    <row r="80">
      <c r="A80" s="14" t="inlineStr">
        <is>
          <t>Bargaining Council for the Contract Cleaning Services Industry (KwaZulu-Natal) Main Collective Agreement, GN R.7296 in Government Gazette 54412, 27 March 2026</t>
        </is>
      </c>
      <c r="B80" s="14" t="inlineStr">
        <is>
          <t>clauses 9, 10 and 12</t>
        </is>
      </c>
      <c r="C80" s="15" t="inlineStr"/>
      <c r="D80" s="12" t="inlineStr">
        <is>
          <t>REF-2026.04.01-BCCCI-RULES-r2</t>
        </is>
      </c>
      <c r="E80" s="15" t="inlineStr">
        <is>
          <t>leave_rule_set</t>
        </is>
      </c>
      <c r="F80" s="14" t="inlineStr">
        <is>
          <t>Leave rules — CONTRACT_CLEANING / AREA_B — long service annual leave days 6day</t>
        </is>
      </c>
      <c r="G80" s="15" t="inlineStr">
        <is>
          <t>24,000</t>
        </is>
      </c>
      <c r="H80" s="15" t="inlineStr">
        <is>
          <t>2026-04-01</t>
        </is>
      </c>
      <c r="I80" s="15" t="inlineStr"/>
      <c r="J80" s="15" t="inlineStr">
        <is>
          <t>leave_rule_set:4:long_service_annual_leave_days_6day</t>
        </is>
      </c>
    </row>
    <row r="81">
      <c r="A81" s="14" t="inlineStr">
        <is>
          <t>Bargaining Council for the Contract Cleaning Services Industry (KwaZulu-Natal) Main Collective Agreement, GN R.7296 in Government Gazette 54412, 27 March 2026</t>
        </is>
      </c>
      <c r="B81" s="14" t="inlineStr">
        <is>
          <t>clauses 9, 10 and 12</t>
        </is>
      </c>
      <c r="C81" s="15" t="inlineStr"/>
      <c r="D81" s="12" t="inlineStr">
        <is>
          <t>REF-2026.04.01-BCCCI-RULES-r2</t>
        </is>
      </c>
      <c r="E81" s="15" t="inlineStr">
        <is>
          <t>leave_rule_set</t>
        </is>
      </c>
      <c r="F81" s="14" t="inlineStr">
        <is>
          <t>Leave rules — CONTRACT_CLEANING / AREA_B — long service annual leave years</t>
        </is>
      </c>
      <c r="G81" s="15" t="inlineStr">
        <is>
          <t>10</t>
        </is>
      </c>
      <c r="H81" s="15" t="inlineStr">
        <is>
          <t>2026-04-01</t>
        </is>
      </c>
      <c r="I81" s="15" t="inlineStr"/>
      <c r="J81" s="15" t="inlineStr">
        <is>
          <t>leave_rule_set:4:long_service_annual_leave_years</t>
        </is>
      </c>
    </row>
    <row r="82">
      <c r="A82" s="14" t="inlineStr">
        <is>
          <t>Bargaining Council for the Contract Cleaning Services Industry (KwaZulu-Natal) Main Collective Agreement, GN R.7296 in Government Gazette 54412, 27 March 2026</t>
        </is>
      </c>
      <c r="B82" s="14" t="inlineStr">
        <is>
          <t>clauses 9, 10 and 12</t>
        </is>
      </c>
      <c r="C82" s="15" t="inlineStr"/>
      <c r="D82" s="12" t="inlineStr">
        <is>
          <t>REF-2026.04.01-BCCCI-RULES-r2</t>
        </is>
      </c>
      <c r="E82" s="15" t="inlineStr">
        <is>
          <t>leave_rule_set</t>
        </is>
      </c>
      <c r="F82" s="14" t="inlineStr">
        <is>
          <t>Leave rules — CONTRACT_CLEANING / AREA_B — long service years inclusive</t>
        </is>
      </c>
      <c r="G82" s="15" t="inlineStr">
        <is>
          <t>No</t>
        </is>
      </c>
      <c r="H82" s="15" t="inlineStr">
        <is>
          <t>2026-04-01</t>
        </is>
      </c>
      <c r="I82" s="15" t="inlineStr"/>
      <c r="J82" s="15" t="inlineStr">
        <is>
          <t>leave_rule_set:4:long_service_years_inclusive</t>
        </is>
      </c>
    </row>
    <row r="83">
      <c r="A83" s="14" t="inlineStr">
        <is>
          <t>Bargaining Council for the Contract Cleaning Services Industry (KwaZulu-Natal) Main Collective Agreement, GN R.7296 in Government Gazette 54412, 27 March 2026</t>
        </is>
      </c>
      <c r="B83" s="14" t="inlineStr">
        <is>
          <t>clauses 9, 10 and 12</t>
        </is>
      </c>
      <c r="C83" s="15" t="inlineStr"/>
      <c r="D83" s="12" t="inlineStr">
        <is>
          <t>REF-2026.04.01-BCCCI-RULES-r2</t>
        </is>
      </c>
      <c r="E83" s="15" t="inlineStr">
        <is>
          <t>leave_rule_set</t>
        </is>
      </c>
      <c r="F83" s="14" t="inlineStr">
        <is>
          <t>Leave rules — CONTRACT_CLEANING / AREA_B — maternity earliest start weeks before birth</t>
        </is>
      </c>
      <c r="G83" s="15" t="inlineStr">
        <is>
          <t>4</t>
        </is>
      </c>
      <c r="H83" s="15" t="inlineStr">
        <is>
          <t>2026-04-01</t>
        </is>
      </c>
      <c r="I83" s="15" t="inlineStr"/>
      <c r="J83" s="15" t="inlineStr">
        <is>
          <t>leave_rule_set:4:maternity_earliest_start_weeks_before_birth</t>
        </is>
      </c>
    </row>
    <row r="84">
      <c r="A84" s="14" t="inlineStr">
        <is>
          <t>Bargaining Council for the Contract Cleaning Services Industry (KwaZulu-Natal) Main Collective Agreement, GN R.7296 in Government Gazette 54412, 27 March 2026</t>
        </is>
      </c>
      <c r="B84" s="14" t="inlineStr">
        <is>
          <t>clauses 9, 10 and 12</t>
        </is>
      </c>
      <c r="C84" s="15" t="inlineStr"/>
      <c r="D84" s="12" t="inlineStr">
        <is>
          <t>REF-2026.04.01-BCCCI-RULES-r2</t>
        </is>
      </c>
      <c r="E84" s="15" t="inlineStr">
        <is>
          <t>leave_rule_set</t>
        </is>
      </c>
      <c r="F84" s="14" t="inlineStr">
        <is>
          <t>Leave rules — CONTRACT_CLEANING / AREA_B — maternity no work weeks after birth</t>
        </is>
      </c>
      <c r="G84" s="15" t="inlineStr">
        <is>
          <t>6</t>
        </is>
      </c>
      <c r="H84" s="15" t="inlineStr">
        <is>
          <t>2026-04-01</t>
        </is>
      </c>
      <c r="I84" s="15" t="inlineStr"/>
      <c r="J84" s="15" t="inlineStr">
        <is>
          <t>leave_rule_set:4:maternity_no_work_weeks_after_birth</t>
        </is>
      </c>
    </row>
    <row r="85">
      <c r="A85" s="14" t="inlineStr">
        <is>
          <t>Bargaining Council for the Contract Cleaning Services Industry (KwaZulu-Natal) Main Collective Agreement, GN R.7296 in Government Gazette 54412, 27 March 2026</t>
        </is>
      </c>
      <c r="B85" s="14" t="inlineStr">
        <is>
          <t>clauses 9, 10 and 12</t>
        </is>
      </c>
      <c r="C85" s="15" t="inlineStr"/>
      <c r="D85" s="12" t="inlineStr">
        <is>
          <t>REF-2026.04.01-BCCCI-RULES-r2</t>
        </is>
      </c>
      <c r="E85" s="15" t="inlineStr">
        <is>
          <t>leave_rule_set</t>
        </is>
      </c>
      <c r="F85" s="14" t="inlineStr">
        <is>
          <t>Leave rules — CONTRACT_CLEANING / AREA_B — parental leave additional days</t>
        </is>
      </c>
      <c r="G85" s="15" t="inlineStr">
        <is>
          <t>10</t>
        </is>
      </c>
      <c r="H85" s="15" t="inlineStr">
        <is>
          <t>2026-04-01</t>
        </is>
      </c>
      <c r="I85" s="15" t="inlineStr"/>
      <c r="J85" s="15" t="inlineStr">
        <is>
          <t>leave_rule_set:4:parental_leave_additional_days</t>
        </is>
      </c>
    </row>
    <row r="86">
      <c r="A86" s="14" t="inlineStr">
        <is>
          <t>Bargaining Council for the Contract Cleaning Services Industry (KwaZulu-Natal) Main Collective Agreement, GN R.7296 in Government Gazette 54412, 27 March 2026</t>
        </is>
      </c>
      <c r="B86" s="14" t="inlineStr">
        <is>
          <t>clauses 9, 10 and 12</t>
        </is>
      </c>
      <c r="C86" s="15" t="inlineStr"/>
      <c r="D86" s="12" t="inlineStr">
        <is>
          <t>REF-2026.04.01-BCCCI-RULES-r2</t>
        </is>
      </c>
      <c r="E86" s="15" t="inlineStr">
        <is>
          <t>leave_rule_set</t>
        </is>
      </c>
      <c r="F86" s="14" t="inlineStr">
        <is>
          <t>Leave rules — CONTRACT_CLEANING / AREA_B — parental leave shareable</t>
        </is>
      </c>
      <c r="G86" s="15" t="inlineStr">
        <is>
          <t>Yes</t>
        </is>
      </c>
      <c r="H86" s="15" t="inlineStr">
        <is>
          <t>2026-04-01</t>
        </is>
      </c>
      <c r="I86" s="15" t="inlineStr"/>
      <c r="J86" s="15" t="inlineStr">
        <is>
          <t>leave_rule_set:4:parental_leave_shareable</t>
        </is>
      </c>
    </row>
    <row r="87">
      <c r="A87" s="14" t="inlineStr">
        <is>
          <t>Bargaining Council for the Contract Cleaning Services Industry (KwaZulu-Natal) Main Collective Agreement, GN R.7296 in Government Gazette 54412, 27 March 2026</t>
        </is>
      </c>
      <c r="B87" s="14" t="inlineStr">
        <is>
          <t>clauses 9, 10 and 12</t>
        </is>
      </c>
      <c r="C87" s="15" t="inlineStr"/>
      <c r="D87" s="12" t="inlineStr">
        <is>
          <t>REF-2026.04.01-BCCCI-RULES-r2</t>
        </is>
      </c>
      <c r="E87" s="15" t="inlineStr">
        <is>
          <t>leave_rule_set</t>
        </is>
      </c>
      <c r="F87" s="14" t="inlineStr">
        <is>
          <t>Leave rules — CONTRACT_CLEANING / AREA_B — parental leave total months</t>
        </is>
      </c>
      <c r="G87" s="15" t="inlineStr">
        <is>
          <t>4</t>
        </is>
      </c>
      <c r="H87" s="15" t="inlineStr">
        <is>
          <t>2026-04-01</t>
        </is>
      </c>
      <c r="I87" s="15" t="inlineStr"/>
      <c r="J87" s="15" t="inlineStr">
        <is>
          <t>leave_rule_set:4:parental_leave_total_months</t>
        </is>
      </c>
    </row>
    <row r="88">
      <c r="A88" s="14" t="inlineStr">
        <is>
          <t>Bargaining Council for the Contract Cleaning Services Industry (KwaZulu-Natal) Main Collective Agreement, GN R.7296 in Government Gazette 54412, 27 March 2026</t>
        </is>
      </c>
      <c r="B88" s="14" t="inlineStr">
        <is>
          <t>clauses 9, 10 and 12</t>
        </is>
      </c>
      <c r="C88" s="15" t="inlineStr"/>
      <c r="D88" s="12" t="inlineStr">
        <is>
          <t>REF-2026.04.01-BCCCI-RULES-r2</t>
        </is>
      </c>
      <c r="E88" s="15" t="inlineStr">
        <is>
          <t>leave_rule_set</t>
        </is>
      </c>
      <c r="F88" s="14" t="inlineStr">
        <is>
          <t>Leave rules — CONTRACT_CLEANING / AREA_B — sick leave cycle months</t>
        </is>
      </c>
      <c r="G88" s="15" t="inlineStr">
        <is>
          <t>36</t>
        </is>
      </c>
      <c r="H88" s="15" t="inlineStr">
        <is>
          <t>2026-04-01</t>
        </is>
      </c>
      <c r="I88" s="15" t="inlineStr"/>
      <c r="J88" s="15" t="inlineStr">
        <is>
          <t>leave_rule_set:4:sick_leave_cycle_months</t>
        </is>
      </c>
    </row>
    <row r="89">
      <c r="A89" s="14" t="inlineStr">
        <is>
          <t>Bargaining Council for the Contract Cleaning Services Industry (KwaZulu-Natal) Main Collective Agreement, GN R.7296 in Government Gazette 54412, 27 March 2026</t>
        </is>
      </c>
      <c r="B89" s="14" t="inlineStr">
        <is>
          <t>clauses 9, 10 and 12</t>
        </is>
      </c>
      <c r="C89" s="15" t="inlineStr"/>
      <c r="D89" s="12" t="inlineStr">
        <is>
          <t>REF-2026.04.01-BCCCI-RULES-r2</t>
        </is>
      </c>
      <c r="E89" s="15" t="inlineStr">
        <is>
          <t>leave_rule_set</t>
        </is>
      </c>
      <c r="F89" s="14" t="inlineStr">
        <is>
          <t>Leave rules — CONTRACT_CLEANING / AREA_B — sick leave first six months ratio</t>
        </is>
      </c>
      <c r="G89" s="15" t="inlineStr">
        <is>
          <t>26</t>
        </is>
      </c>
      <c r="H89" s="15" t="inlineStr">
        <is>
          <t>2026-04-01</t>
        </is>
      </c>
      <c r="I89" s="15" t="inlineStr"/>
      <c r="J89" s="15" t="inlineStr">
        <is>
          <t>leave_rule_set:4:sick_leave_first_six_months_ratio</t>
        </is>
      </c>
    </row>
    <row r="90">
      <c r="A90" s="14" t="inlineStr">
        <is>
          <t>Bargaining Council for the Contract Cleaning Services Industry (KwaZulu-Natal) Main Collective Agreement, GN R.7296 in Government Gazette 54412, 27 March 2026</t>
        </is>
      </c>
      <c r="B90" s="14" t="inlineStr">
        <is>
          <t>clauses 9, 10 and 12</t>
        </is>
      </c>
      <c r="C90" s="15" t="inlineStr"/>
      <c r="D90" s="12" t="inlineStr">
        <is>
          <t>REF-2026.04.01-BCCCI-RULES-r2</t>
        </is>
      </c>
      <c r="E90" s="15" t="inlineStr">
        <is>
          <t>leave_rule_set</t>
        </is>
      </c>
      <c r="F90" s="14" t="inlineStr">
        <is>
          <t>Leave rules — CONTRACT_CLEANING / AREA_B — sick leave payable on termination</t>
        </is>
      </c>
      <c r="G90" s="15" t="inlineStr">
        <is>
          <t>No</t>
        </is>
      </c>
      <c r="H90" s="15" t="inlineStr">
        <is>
          <t>2026-04-01</t>
        </is>
      </c>
      <c r="I90" s="15" t="inlineStr"/>
      <c r="J90" s="15" t="inlineStr">
        <is>
          <t>leave_rule_set:4:sick_leave_payable_on_termination</t>
        </is>
      </c>
    </row>
    <row r="91">
      <c r="A91" s="14" t="inlineStr">
        <is>
          <t>Bargaining Council for the Contract Cleaning Services Industry (KwaZulu-Natal) Main Collective Agreement, GN R.7296 in Government Gazette 54412, 27 March 2026</t>
        </is>
      </c>
      <c r="B91" s="14" t="inlineStr">
        <is>
          <t>clauses 9, 10 and 12</t>
        </is>
      </c>
      <c r="C91" s="15" t="inlineStr"/>
      <c r="D91" s="12" t="inlineStr">
        <is>
          <t>REF-2026.04.01-BCCCI-RULES-r2</t>
        </is>
      </c>
      <c r="E91" s="15" t="inlineStr">
        <is>
          <t>leave_rule_set</t>
        </is>
      </c>
      <c r="F91" s="14" t="inlineStr">
        <is>
          <t>Leave rules — CONTRACT_CLEANING / AREA_B — sick leave weeks equivalent</t>
        </is>
      </c>
      <c r="G91" s="15" t="inlineStr">
        <is>
          <t>6,00</t>
        </is>
      </c>
      <c r="H91" s="15" t="inlineStr">
        <is>
          <t>2026-04-01</t>
        </is>
      </c>
      <c r="I91" s="15" t="inlineStr"/>
      <c r="J91" s="15" t="inlineStr">
        <is>
          <t>leave_rule_set:4:sick_leave_weeks_equivalent</t>
        </is>
      </c>
    </row>
    <row r="92">
      <c r="A92" s="10" t="inlineStr">
        <is>
          <t>Basic Conditions of Employment Act 75 of 1997</t>
        </is>
      </c>
      <c r="B92" s="10" t="inlineStr">
        <is>
          <t>s22(1)-(2). Commencement of Chapter 6.</t>
        </is>
      </c>
      <c r="C92" s="16" t="inlineStr">
        <is>
          <t>https://www.labour.gov.za/DocumentCenter/Acts/Basic%20Conditions%20of%20Employment/Act%20-%20Basic%20Conditions%20of%20Employment.pdf</t>
        </is>
      </c>
      <c r="D92" s="11" t="inlineStr">
        <is>
          <t>REF-2026.03.01-SICK-ACCRUAL</t>
        </is>
      </c>
      <c r="E92" s="11" t="inlineStr">
        <is>
          <t>statutory_parameter</t>
        </is>
      </c>
      <c r="F92" s="10" t="inlineStr">
        <is>
          <t>Statutory parameter SICK_LEAVE_FIRST_PERIOD_MONTHS (all sectors) — unit</t>
        </is>
      </c>
      <c r="G92" s="11" t="inlineStr">
        <is>
          <t>Months</t>
        </is>
      </c>
      <c r="H92" s="11" t="inlineStr">
        <is>
          <t>1997-12-01</t>
        </is>
      </c>
      <c r="I92" s="11" t="inlineStr"/>
      <c r="J92" s="11" t="inlineStr">
        <is>
          <t>statutory_parameter:13:unit</t>
        </is>
      </c>
      <c r="K92" s="13" t="n"/>
      <c r="L92" s="13" t="n"/>
      <c r="M92" s="13" t="n"/>
      <c r="N92" s="13" t="n"/>
    </row>
    <row r="93">
      <c r="A93" s="14" t="inlineStr">
        <is>
          <t>Basic Conditions of Employment Act 75 of 1997</t>
        </is>
      </c>
      <c r="B93" s="14" t="inlineStr">
        <is>
          <t>s22(1)-(2). Commencement of Chapter 6.</t>
        </is>
      </c>
      <c r="C93" s="17" t="inlineStr">
        <is>
          <t>https://www.labour.gov.za/DocumentCenter/Acts/Basic%20Conditions%20of%20Employment/Act%20-%20Basic%20Conditions%20of%20Employment.pdf</t>
        </is>
      </c>
      <c r="D93" s="15" t="inlineStr">
        <is>
          <t>REF-2026.03.01-SICK-ACCRUAL</t>
        </is>
      </c>
      <c r="E93" s="15" t="inlineStr">
        <is>
          <t>statutory_parameter</t>
        </is>
      </c>
      <c r="F93" s="14" t="inlineStr">
        <is>
          <t>Statutory parameter SICK_LEAVE_FIRST_PERIOD_MONTHS (all sectors) — value</t>
        </is>
      </c>
      <c r="G93" s="15" t="inlineStr">
        <is>
          <t>6,000000</t>
        </is>
      </c>
      <c r="H93" s="15" t="inlineStr">
        <is>
          <t>1997-12-01</t>
        </is>
      </c>
      <c r="I93" s="15" t="inlineStr"/>
      <c r="J93" s="15" t="inlineStr">
        <is>
          <t>statutory_parameter:13:value_numeric</t>
        </is>
      </c>
    </row>
    <row r="94">
      <c r="A94" s="14" t="inlineStr">
        <is>
          <t>Basic Conditions of Employment Act 75 of 1997</t>
        </is>
      </c>
      <c r="B94" s="14" t="inlineStr">
        <is>
          <t>s23(1). Commencement of Chapter 6.</t>
        </is>
      </c>
      <c r="C94" s="17" t="inlineStr">
        <is>
          <t>https://www.labour.gov.za/DocumentCenter/Acts/Basic%20Conditions%20of%20Employment/Act%20-%20Basic%20Conditions%20of%20Employment.pdf</t>
        </is>
      </c>
      <c r="D94" s="15" t="inlineStr">
        <is>
          <t>REF-2026.03.01-LEAVE</t>
        </is>
      </c>
      <c r="E94" s="15" t="inlineStr">
        <is>
          <t>statutory_parameter</t>
        </is>
      </c>
      <c r="F94" s="14" t="inlineStr">
        <is>
          <t>Statutory parameter SICK_CERTIFICATE_MAX_CONSECUTIVE_DAYS (all sectors) — unit</t>
        </is>
      </c>
      <c r="G94" s="15" t="inlineStr">
        <is>
          <t>Days</t>
        </is>
      </c>
      <c r="H94" s="15" t="inlineStr">
        <is>
          <t>1997-12-01</t>
        </is>
      </c>
      <c r="I94" s="15" t="inlineStr"/>
      <c r="J94" s="15" t="inlineStr">
        <is>
          <t>statutory_parameter:12:unit</t>
        </is>
      </c>
    </row>
    <row r="95">
      <c r="A95" s="14" t="inlineStr">
        <is>
          <t>Basic Conditions of Employment Act 75 of 1997</t>
        </is>
      </c>
      <c r="B95" s="14" t="inlineStr">
        <is>
          <t>s23(1). Commencement of Chapter 6.</t>
        </is>
      </c>
      <c r="C95" s="17" t="inlineStr">
        <is>
          <t>https://www.labour.gov.za/DocumentCenter/Acts/Basic%20Conditions%20of%20Employment/Act%20-%20Basic%20Conditions%20of%20Employment.pdf</t>
        </is>
      </c>
      <c r="D95" s="15" t="inlineStr">
        <is>
          <t>REF-2026.03.01-LEAVE</t>
        </is>
      </c>
      <c r="E95" s="15" t="inlineStr">
        <is>
          <t>statutory_parameter</t>
        </is>
      </c>
      <c r="F95" s="14" t="inlineStr">
        <is>
          <t>Statutory parameter SICK_CERTIFICATE_MAX_CONSECUTIVE_DAYS (all sectors) — value</t>
        </is>
      </c>
      <c r="G95" s="15" t="inlineStr">
        <is>
          <t>2,000000</t>
        </is>
      </c>
      <c r="H95" s="15" t="inlineStr">
        <is>
          <t>1997-12-01</t>
        </is>
      </c>
      <c r="I95" s="15" t="inlineStr"/>
      <c r="J95" s="15" t="inlineStr">
        <is>
          <t>statutory_parameter:12:value_numeric</t>
        </is>
      </c>
    </row>
    <row r="96">
      <c r="A96" s="14" t="inlineStr">
        <is>
          <t>Basic Conditions of Employment Act 75 of 1997</t>
        </is>
      </c>
      <c r="B96" s="14" t="inlineStr">
        <is>
          <t>s35(4)(a)</t>
        </is>
      </c>
      <c r="C96" s="17" t="inlineStr">
        <is>
          <t>https://www.gov.za/sites/default/files/gcis_document/201409/a75-97.pdf</t>
        </is>
      </c>
      <c r="D96" s="15" t="inlineStr">
        <is>
          <t>REF-2026.03.01-LEAVE-PAY</t>
        </is>
      </c>
      <c r="E96" s="15" t="inlineStr">
        <is>
          <t>statutory_parameter</t>
        </is>
      </c>
      <c r="F96" s="14" t="inlineStr">
        <is>
          <t>Statutory parameter VARIABLE_EARNINGS_AVERAGE_WEEKS (all sectors) — unit</t>
        </is>
      </c>
      <c r="G96" s="15" t="inlineStr">
        <is>
          <t>Weeks</t>
        </is>
      </c>
      <c r="H96" s="15" t="inlineStr">
        <is>
          <t>1997-12-01</t>
        </is>
      </c>
      <c r="I96" s="15" t="inlineStr"/>
      <c r="J96" s="15" t="inlineStr">
        <is>
          <t>statutory_parameter:14:unit</t>
        </is>
      </c>
    </row>
    <row r="97">
      <c r="A97" s="14" t="inlineStr">
        <is>
          <t>Basic Conditions of Employment Act 75 of 1997</t>
        </is>
      </c>
      <c r="B97" s="14" t="inlineStr">
        <is>
          <t>s35(4)(a)</t>
        </is>
      </c>
      <c r="C97" s="17" t="inlineStr">
        <is>
          <t>https://www.gov.za/sites/default/files/gcis_document/201409/a75-97.pdf</t>
        </is>
      </c>
      <c r="D97" s="15" t="inlineStr">
        <is>
          <t>REF-2026.03.01-LEAVE-PAY</t>
        </is>
      </c>
      <c r="E97" s="15" t="inlineStr">
        <is>
          <t>statutory_parameter</t>
        </is>
      </c>
      <c r="F97" s="14" t="inlineStr">
        <is>
          <t>Statutory parameter VARIABLE_EARNINGS_AVERAGE_WEEKS (all sectors) — value</t>
        </is>
      </c>
      <c r="G97" s="15" t="inlineStr">
        <is>
          <t>13,000000</t>
        </is>
      </c>
      <c r="H97" s="15" t="inlineStr">
        <is>
          <t>1997-12-01</t>
        </is>
      </c>
      <c r="I97" s="15" t="inlineStr"/>
      <c r="J97" s="15" t="inlineStr">
        <is>
          <t>statutory_parameter:14:value_numeric</t>
        </is>
      </c>
    </row>
    <row r="98">
      <c r="A98" s="14" t="inlineStr">
        <is>
          <t>Basic Conditions of Employment Act 75 of 1997</t>
        </is>
      </c>
      <c r="B98" s="14" t="inlineStr">
        <is>
          <t>s35, read with Form BCEA1A (Regulation 2), Summary of the Act</t>
        </is>
      </c>
      <c r="C98" s="17" t="inlineStr">
        <is>
          <t>https://www.wits.ac.za/media/wits-university/about-wits/documents/Form%20BCEA1A%20-%20Summary%20of%20the%20Act%20-%20English.pdf</t>
        </is>
      </c>
      <c r="D98" s="15" t="inlineStr">
        <is>
          <t>REF-2026.03.01-REMUNERATION</t>
        </is>
      </c>
      <c r="E98" s="15" t="inlineStr">
        <is>
          <t>statutory_parameter</t>
        </is>
      </c>
      <c r="F98" s="14" t="inlineStr">
        <is>
          <t>Statutory parameter MONTHLY_TO_WEEKLY_FACTOR (all sectors) — unit</t>
        </is>
      </c>
      <c r="G98" s="15" t="inlineStr">
        <is>
          <t>Ratio</t>
        </is>
      </c>
      <c r="H98" s="15" t="inlineStr">
        <is>
          <t>1997-12-01</t>
        </is>
      </c>
      <c r="I98" s="15" t="inlineStr"/>
      <c r="J98" s="15" t="inlineStr">
        <is>
          <t>statutory_parameter:11:unit</t>
        </is>
      </c>
    </row>
    <row r="99">
      <c r="A99" s="14" t="inlineStr">
        <is>
          <t>Basic Conditions of Employment Act 75 of 1997</t>
        </is>
      </c>
      <c r="B99" s="14" t="inlineStr">
        <is>
          <t>s35, read with Form BCEA1A (Regulation 2), Summary of the Act</t>
        </is>
      </c>
      <c r="C99" s="17" t="inlineStr">
        <is>
          <t>https://www.wits.ac.za/media/wits-university/about-wits/documents/Form%20BCEA1A%20-%20Summary%20of%20the%20Act%20-%20English.pdf</t>
        </is>
      </c>
      <c r="D99" s="15" t="inlineStr">
        <is>
          <t>REF-2026.03.01-REMUNERATION</t>
        </is>
      </c>
      <c r="E99" s="15" t="inlineStr">
        <is>
          <t>statutory_parameter</t>
        </is>
      </c>
      <c r="F99" s="14" t="inlineStr">
        <is>
          <t>Statutory parameter MONTHLY_TO_WEEKLY_FACTOR (all sectors) — value</t>
        </is>
      </c>
      <c r="G99" s="15" t="inlineStr">
        <is>
          <t>4,333333</t>
        </is>
      </c>
      <c r="H99" s="15" t="inlineStr">
        <is>
          <t>1997-12-01</t>
        </is>
      </c>
      <c r="I99" s="15" t="inlineStr"/>
      <c r="J99" s="15" t="inlineStr">
        <is>
          <t>statutory_parameter:11:value_numeric</t>
        </is>
      </c>
    </row>
    <row r="100">
      <c r="A100" s="14" t="inlineStr">
        <is>
          <t>Basic Conditions of Employment Act 75 of 1997</t>
        </is>
      </c>
      <c r="B100" s="14" t="inlineStr">
        <is>
          <t>s37(1)(a)</t>
        </is>
      </c>
      <c r="C100" s="15" t="inlineStr"/>
      <c r="D100" s="15" t="inlineStr">
        <is>
          <t>REF-2026.03.01-NOTICE-BANDS-3</t>
        </is>
      </c>
      <c r="E100" s="15" t="inlineStr">
        <is>
          <t>termination_notice_band</t>
        </is>
      </c>
      <c r="F100" s="14" t="inlineStr">
        <is>
          <t>Notice band 1 — all sectors, 0.00 months to 6.00 months — is contested</t>
        </is>
      </c>
      <c r="G100" s="15" t="inlineStr">
        <is>
          <t>No</t>
        </is>
      </c>
      <c r="H100" s="15" t="inlineStr"/>
      <c r="I100" s="15" t="inlineStr"/>
      <c r="J100" s="15" t="inlineStr">
        <is>
          <t>termination_notice_band:1:is_contested</t>
        </is>
      </c>
    </row>
    <row r="101">
      <c r="A101" s="14" t="inlineStr">
        <is>
          <t>Basic Conditions of Employment Act 75 of 1997</t>
        </is>
      </c>
      <c r="B101" s="14" t="inlineStr">
        <is>
          <t>s37(1)(a)</t>
        </is>
      </c>
      <c r="C101" s="15" t="inlineStr"/>
      <c r="D101" s="15" t="inlineStr">
        <is>
          <t>REF-2026.03.01-NOTICE-BANDS-3</t>
        </is>
      </c>
      <c r="E101" s="15" t="inlineStr">
        <is>
          <t>termination_notice_band</t>
        </is>
      </c>
      <c r="F101" s="14" t="inlineStr">
        <is>
          <t>Notice band 1 — all sectors, 0.00 months to 6.00 months — notice unit</t>
        </is>
      </c>
      <c r="G101" s="15" t="inlineStr">
        <is>
          <t>Weeks</t>
        </is>
      </c>
      <c r="H101" s="15" t="inlineStr"/>
      <c r="I101" s="15" t="inlineStr"/>
      <c r="J101" s="15" t="inlineStr">
        <is>
          <t>termination_notice_band:1:notice_unit</t>
        </is>
      </c>
    </row>
    <row r="102">
      <c r="A102" s="14" t="inlineStr">
        <is>
          <t>Basic Conditions of Employment Act 75 of 1997</t>
        </is>
      </c>
      <c r="B102" s="14" t="inlineStr">
        <is>
          <t>s37(1)(a)</t>
        </is>
      </c>
      <c r="C102" s="15" t="inlineStr"/>
      <c r="D102" s="15" t="inlineStr">
        <is>
          <t>REF-2026.03.01-NOTICE-BANDS-3</t>
        </is>
      </c>
      <c r="E102" s="15" t="inlineStr">
        <is>
          <t>termination_notice_band</t>
        </is>
      </c>
      <c r="F102" s="14" t="inlineStr">
        <is>
          <t>Notice band 1 — all sectors, 0.00 months to 6.00 months — notice value</t>
        </is>
      </c>
      <c r="G102" s="15" t="inlineStr">
        <is>
          <t>1,00</t>
        </is>
      </c>
      <c r="H102" s="15" t="inlineStr"/>
      <c r="I102" s="15" t="inlineStr"/>
      <c r="J102" s="15" t="inlineStr">
        <is>
          <t>termination_notice_band:1:notice_value</t>
        </is>
      </c>
    </row>
    <row r="103">
      <c r="A103" s="14" t="inlineStr">
        <is>
          <t>Basic Conditions of Employment Act 75 of 1997</t>
        </is>
      </c>
      <c r="B103" s="14" t="inlineStr">
        <is>
          <t>s37(1)(a)</t>
        </is>
      </c>
      <c r="C103" s="15" t="inlineStr"/>
      <c r="D103" s="15" t="inlineStr">
        <is>
          <t>REF-2026.03.01-NOTICE-BANDS-3</t>
        </is>
      </c>
      <c r="E103" s="15" t="inlineStr">
        <is>
          <t>termination_notice_band</t>
        </is>
      </c>
      <c r="F103" s="14" t="inlineStr">
        <is>
          <t>Notice band 1 — all sectors, 0.00 months to 6.00 months — service from inclusive</t>
        </is>
      </c>
      <c r="G103" s="15" t="inlineStr">
        <is>
          <t>Yes</t>
        </is>
      </c>
      <c r="H103" s="15" t="inlineStr"/>
      <c r="I103" s="15" t="inlineStr"/>
      <c r="J103" s="15" t="inlineStr">
        <is>
          <t>termination_notice_band:1:service_from_inclusive</t>
        </is>
      </c>
    </row>
    <row r="104">
      <c r="A104" s="14" t="inlineStr">
        <is>
          <t>Basic Conditions of Employment Act 75 of 1997</t>
        </is>
      </c>
      <c r="B104" s="14" t="inlineStr">
        <is>
          <t>s37(1)(a)</t>
        </is>
      </c>
      <c r="C104" s="15" t="inlineStr"/>
      <c r="D104" s="15" t="inlineStr">
        <is>
          <t>REF-2026.03.01-NOTICE-BANDS-3</t>
        </is>
      </c>
      <c r="E104" s="15" t="inlineStr">
        <is>
          <t>termination_notice_band</t>
        </is>
      </c>
      <c r="F104" s="14" t="inlineStr">
        <is>
          <t>Notice band 1 — all sectors, 0.00 months to 6.00 months — service from unit</t>
        </is>
      </c>
      <c r="G104" s="15" t="inlineStr">
        <is>
          <t>Months</t>
        </is>
      </c>
      <c r="H104" s="15" t="inlineStr"/>
      <c r="I104" s="15" t="inlineStr"/>
      <c r="J104" s="15" t="inlineStr">
        <is>
          <t>termination_notice_band:1:service_from_unit</t>
        </is>
      </c>
    </row>
    <row r="105">
      <c r="A105" s="14" t="inlineStr">
        <is>
          <t>Basic Conditions of Employment Act 75 of 1997</t>
        </is>
      </c>
      <c r="B105" s="14" t="inlineStr">
        <is>
          <t>s37(1)(a)</t>
        </is>
      </c>
      <c r="C105" s="15" t="inlineStr"/>
      <c r="D105" s="15" t="inlineStr">
        <is>
          <t>REF-2026.03.01-NOTICE-BANDS-3</t>
        </is>
      </c>
      <c r="E105" s="15" t="inlineStr">
        <is>
          <t>termination_notice_band</t>
        </is>
      </c>
      <c r="F105" s="14" t="inlineStr">
        <is>
          <t>Notice band 1 — all sectors, 0.00 months to 6.00 months — service from value</t>
        </is>
      </c>
      <c r="G105" s="15" t="inlineStr">
        <is>
          <t>0,00</t>
        </is>
      </c>
      <c r="H105" s="15" t="inlineStr"/>
      <c r="I105" s="15" t="inlineStr"/>
      <c r="J105" s="15" t="inlineStr">
        <is>
          <t>termination_notice_band:1:service_from_value</t>
        </is>
      </c>
    </row>
    <row r="106">
      <c r="A106" s="14" t="inlineStr">
        <is>
          <t>Basic Conditions of Employment Act 75 of 1997</t>
        </is>
      </c>
      <c r="B106" s="14" t="inlineStr">
        <is>
          <t>s37(1)(a)</t>
        </is>
      </c>
      <c r="C106" s="15" t="inlineStr"/>
      <c r="D106" s="15" t="inlineStr">
        <is>
          <t>REF-2026.03.01-NOTICE-BANDS-3</t>
        </is>
      </c>
      <c r="E106" s="15" t="inlineStr">
        <is>
          <t>termination_notice_band</t>
        </is>
      </c>
      <c r="F106" s="14" t="inlineStr">
        <is>
          <t>Notice band 1 — all sectors, 0.00 months to 6.00 months — service to inclusive</t>
        </is>
      </c>
      <c r="G106" s="15" t="inlineStr">
        <is>
          <t>Yes</t>
        </is>
      </c>
      <c r="H106" s="15" t="inlineStr"/>
      <c r="I106" s="15" t="inlineStr"/>
      <c r="J106" s="15" t="inlineStr">
        <is>
          <t>termination_notice_band:1:service_to_inclusive</t>
        </is>
      </c>
    </row>
    <row r="107">
      <c r="A107" s="14" t="inlineStr">
        <is>
          <t>Basic Conditions of Employment Act 75 of 1997</t>
        </is>
      </c>
      <c r="B107" s="14" t="inlineStr">
        <is>
          <t>s37(1)(a)</t>
        </is>
      </c>
      <c r="C107" s="15" t="inlineStr"/>
      <c r="D107" s="15" t="inlineStr">
        <is>
          <t>REF-2026.03.01-NOTICE-BANDS-3</t>
        </is>
      </c>
      <c r="E107" s="15" t="inlineStr">
        <is>
          <t>termination_notice_band</t>
        </is>
      </c>
      <c r="F107" s="14" t="inlineStr">
        <is>
          <t>Notice band 1 — all sectors, 0.00 months to 6.00 months — service to unit</t>
        </is>
      </c>
      <c r="G107" s="15" t="inlineStr">
        <is>
          <t>Months</t>
        </is>
      </c>
      <c r="H107" s="15" t="inlineStr"/>
      <c r="I107" s="15" t="inlineStr"/>
      <c r="J107" s="15" t="inlineStr">
        <is>
          <t>termination_notice_band:1:service_to_unit</t>
        </is>
      </c>
    </row>
    <row r="108">
      <c r="A108" s="14" t="inlineStr">
        <is>
          <t>Basic Conditions of Employment Act 75 of 1997</t>
        </is>
      </c>
      <c r="B108" s="14" t="inlineStr">
        <is>
          <t>s37(1)(a)</t>
        </is>
      </c>
      <c r="C108" s="15" t="inlineStr"/>
      <c r="D108" s="15" t="inlineStr">
        <is>
          <t>REF-2026.03.01-NOTICE-BANDS-3</t>
        </is>
      </c>
      <c r="E108" s="15" t="inlineStr">
        <is>
          <t>termination_notice_band</t>
        </is>
      </c>
      <c r="F108" s="14" t="inlineStr">
        <is>
          <t>Notice band 1 — all sectors, 0.00 months to 6.00 months — service to value</t>
        </is>
      </c>
      <c r="G108" s="15" t="inlineStr">
        <is>
          <t>6,00</t>
        </is>
      </c>
      <c r="H108" s="15" t="inlineStr"/>
      <c r="I108" s="15" t="inlineStr"/>
      <c r="J108" s="15" t="inlineStr">
        <is>
          <t>termination_notice_band:1:service_to_value</t>
        </is>
      </c>
    </row>
    <row r="109">
      <c r="A109" s="14" t="inlineStr">
        <is>
          <t>Basic Conditions of Employment Act 75 of 1997</t>
        </is>
      </c>
      <c r="B109" s="14" t="inlineStr">
        <is>
          <t>s37(1)(b)</t>
        </is>
      </c>
      <c r="C109" s="15" t="inlineStr"/>
      <c r="D109" s="15" t="inlineStr">
        <is>
          <t>REF-2026.03.01-NOTICE-BANDS-3</t>
        </is>
      </c>
      <c r="E109" s="15" t="inlineStr">
        <is>
          <t>termination_notice_band</t>
        </is>
      </c>
      <c r="F109" s="14" t="inlineStr">
        <is>
          <t>Notice band 2 — all sectors, 6.00 months to 1.00 years — is contested</t>
        </is>
      </c>
      <c r="G109" s="15" t="inlineStr">
        <is>
          <t>No</t>
        </is>
      </c>
      <c r="H109" s="15" t="inlineStr"/>
      <c r="I109" s="15" t="inlineStr"/>
      <c r="J109" s="15" t="inlineStr">
        <is>
          <t>termination_notice_band:2:is_contested</t>
        </is>
      </c>
    </row>
    <row r="110">
      <c r="A110" s="14" t="inlineStr">
        <is>
          <t>Basic Conditions of Employment Act 75 of 1997</t>
        </is>
      </c>
      <c r="B110" s="14" t="inlineStr">
        <is>
          <t>s37(1)(b)</t>
        </is>
      </c>
      <c r="C110" s="15" t="inlineStr"/>
      <c r="D110" s="15" t="inlineStr">
        <is>
          <t>REF-2026.03.01-NOTICE-BANDS-3</t>
        </is>
      </c>
      <c r="E110" s="15" t="inlineStr">
        <is>
          <t>termination_notice_band</t>
        </is>
      </c>
      <c r="F110" s="14" t="inlineStr">
        <is>
          <t>Notice band 2 — all sectors, 6.00 months to 1.00 years — notice unit</t>
        </is>
      </c>
      <c r="G110" s="15" t="inlineStr">
        <is>
          <t>Weeks</t>
        </is>
      </c>
      <c r="H110" s="15" t="inlineStr"/>
      <c r="I110" s="15" t="inlineStr"/>
      <c r="J110" s="15" t="inlineStr">
        <is>
          <t>termination_notice_band:2:notice_unit</t>
        </is>
      </c>
    </row>
    <row r="111">
      <c r="A111" s="14" t="inlineStr">
        <is>
          <t>Basic Conditions of Employment Act 75 of 1997</t>
        </is>
      </c>
      <c r="B111" s="14" t="inlineStr">
        <is>
          <t>s37(1)(b)</t>
        </is>
      </c>
      <c r="C111" s="15" t="inlineStr"/>
      <c r="D111" s="15" t="inlineStr">
        <is>
          <t>REF-2026.03.01-NOTICE-BANDS-3</t>
        </is>
      </c>
      <c r="E111" s="15" t="inlineStr">
        <is>
          <t>termination_notice_band</t>
        </is>
      </c>
      <c r="F111" s="14" t="inlineStr">
        <is>
          <t>Notice band 2 — all sectors, 6.00 months to 1.00 years — notice value</t>
        </is>
      </c>
      <c r="G111" s="15" t="inlineStr">
        <is>
          <t>2,00</t>
        </is>
      </c>
      <c r="H111" s="15" t="inlineStr"/>
      <c r="I111" s="15" t="inlineStr"/>
      <c r="J111" s="15" t="inlineStr">
        <is>
          <t>termination_notice_band:2:notice_value</t>
        </is>
      </c>
    </row>
    <row r="112">
      <c r="A112" s="14" t="inlineStr">
        <is>
          <t>Basic Conditions of Employment Act 75 of 1997</t>
        </is>
      </c>
      <c r="B112" s="14" t="inlineStr">
        <is>
          <t>s37(1)(b)</t>
        </is>
      </c>
      <c r="C112" s="15" t="inlineStr"/>
      <c r="D112" s="15" t="inlineStr">
        <is>
          <t>REF-2026.03.01-NOTICE-BANDS-3</t>
        </is>
      </c>
      <c r="E112" s="15" t="inlineStr">
        <is>
          <t>termination_notice_band</t>
        </is>
      </c>
      <c r="F112" s="14" t="inlineStr">
        <is>
          <t>Notice band 2 — all sectors, 6.00 months to 1.00 years — service from inclusive</t>
        </is>
      </c>
      <c r="G112" s="15" t="inlineStr">
        <is>
          <t>No</t>
        </is>
      </c>
      <c r="H112" s="15" t="inlineStr"/>
      <c r="I112" s="15" t="inlineStr"/>
      <c r="J112" s="15" t="inlineStr">
        <is>
          <t>termination_notice_band:2:service_from_inclusive</t>
        </is>
      </c>
    </row>
    <row r="113">
      <c r="A113" s="14" t="inlineStr">
        <is>
          <t>Basic Conditions of Employment Act 75 of 1997</t>
        </is>
      </c>
      <c r="B113" s="14" t="inlineStr">
        <is>
          <t>s37(1)(b)</t>
        </is>
      </c>
      <c r="C113" s="15" t="inlineStr"/>
      <c r="D113" s="15" t="inlineStr">
        <is>
          <t>REF-2026.03.01-NOTICE-BANDS-3</t>
        </is>
      </c>
      <c r="E113" s="15" t="inlineStr">
        <is>
          <t>termination_notice_band</t>
        </is>
      </c>
      <c r="F113" s="14" t="inlineStr">
        <is>
          <t>Notice band 2 — all sectors, 6.00 months to 1.00 years — service from unit</t>
        </is>
      </c>
      <c r="G113" s="15" t="inlineStr">
        <is>
          <t>Months</t>
        </is>
      </c>
      <c r="H113" s="15" t="inlineStr"/>
      <c r="I113" s="15" t="inlineStr"/>
      <c r="J113" s="15" t="inlineStr">
        <is>
          <t>termination_notice_band:2:service_from_unit</t>
        </is>
      </c>
    </row>
    <row r="114">
      <c r="A114" s="14" t="inlineStr">
        <is>
          <t>Basic Conditions of Employment Act 75 of 1997</t>
        </is>
      </c>
      <c r="B114" s="14" t="inlineStr">
        <is>
          <t>s37(1)(b)</t>
        </is>
      </c>
      <c r="C114" s="15" t="inlineStr"/>
      <c r="D114" s="15" t="inlineStr">
        <is>
          <t>REF-2026.03.01-NOTICE-BANDS-3</t>
        </is>
      </c>
      <c r="E114" s="15" t="inlineStr">
        <is>
          <t>termination_notice_band</t>
        </is>
      </c>
      <c r="F114" s="14" t="inlineStr">
        <is>
          <t>Notice band 2 — all sectors, 6.00 months to 1.00 years — service from value</t>
        </is>
      </c>
      <c r="G114" s="15" t="inlineStr">
        <is>
          <t>6,00</t>
        </is>
      </c>
      <c r="H114" s="15" t="inlineStr"/>
      <c r="I114" s="15" t="inlineStr"/>
      <c r="J114" s="15" t="inlineStr">
        <is>
          <t>termination_notice_band:2:service_from_value</t>
        </is>
      </c>
    </row>
    <row r="115">
      <c r="A115" s="14" t="inlineStr">
        <is>
          <t>Basic Conditions of Employment Act 75 of 1997</t>
        </is>
      </c>
      <c r="B115" s="14" t="inlineStr">
        <is>
          <t>s37(1)(b)</t>
        </is>
      </c>
      <c r="C115" s="15" t="inlineStr"/>
      <c r="D115" s="15" t="inlineStr">
        <is>
          <t>REF-2026.03.01-NOTICE-BANDS-3</t>
        </is>
      </c>
      <c r="E115" s="15" t="inlineStr">
        <is>
          <t>termination_notice_band</t>
        </is>
      </c>
      <c r="F115" s="14" t="inlineStr">
        <is>
          <t>Notice band 2 — all sectors, 6.00 months to 1.00 years — service to inclusive</t>
        </is>
      </c>
      <c r="G115" s="15" t="inlineStr">
        <is>
          <t>No</t>
        </is>
      </c>
      <c r="H115" s="15" t="inlineStr"/>
      <c r="I115" s="15" t="inlineStr"/>
      <c r="J115" s="15" t="inlineStr">
        <is>
          <t>termination_notice_band:2:service_to_inclusive</t>
        </is>
      </c>
    </row>
    <row r="116">
      <c r="A116" s="14" t="inlineStr">
        <is>
          <t>Basic Conditions of Employment Act 75 of 1997</t>
        </is>
      </c>
      <c r="B116" s="14" t="inlineStr">
        <is>
          <t>s37(1)(b)</t>
        </is>
      </c>
      <c r="C116" s="15" t="inlineStr"/>
      <c r="D116" s="15" t="inlineStr">
        <is>
          <t>REF-2026.03.01-NOTICE-BANDS-3</t>
        </is>
      </c>
      <c r="E116" s="15" t="inlineStr">
        <is>
          <t>termination_notice_band</t>
        </is>
      </c>
      <c r="F116" s="14" t="inlineStr">
        <is>
          <t>Notice band 2 — all sectors, 6.00 months to 1.00 years — service to unit</t>
        </is>
      </c>
      <c r="G116" s="15" t="inlineStr">
        <is>
          <t>Years</t>
        </is>
      </c>
      <c r="H116" s="15" t="inlineStr"/>
      <c r="I116" s="15" t="inlineStr"/>
      <c r="J116" s="15" t="inlineStr">
        <is>
          <t>termination_notice_band:2:service_to_unit</t>
        </is>
      </c>
    </row>
    <row r="117">
      <c r="A117" s="14" t="inlineStr">
        <is>
          <t>Basic Conditions of Employment Act 75 of 1997</t>
        </is>
      </c>
      <c r="B117" s="14" t="inlineStr">
        <is>
          <t>s37(1)(b)</t>
        </is>
      </c>
      <c r="C117" s="15" t="inlineStr"/>
      <c r="D117" s="15" t="inlineStr">
        <is>
          <t>REF-2026.03.01-NOTICE-BANDS-3</t>
        </is>
      </c>
      <c r="E117" s="15" t="inlineStr">
        <is>
          <t>termination_notice_band</t>
        </is>
      </c>
      <c r="F117" s="14" t="inlineStr">
        <is>
          <t>Notice band 2 — all sectors, 6.00 months to 1.00 years — service to value</t>
        </is>
      </c>
      <c r="G117" s="15" t="inlineStr">
        <is>
          <t>1,00</t>
        </is>
      </c>
      <c r="H117" s="15" t="inlineStr"/>
      <c r="I117" s="15" t="inlineStr"/>
      <c r="J117" s="15" t="inlineStr">
        <is>
          <t>termination_notice_band:2:service_to_value</t>
        </is>
      </c>
    </row>
    <row r="118">
      <c r="A118" s="14" t="inlineStr">
        <is>
          <t>Basic Conditions of Employment Act 75 of 1997</t>
        </is>
      </c>
      <c r="B118" s="14" t="inlineStr">
        <is>
          <t>s37(1)(c)(i)</t>
        </is>
      </c>
      <c r="C118" s="15" t="inlineStr"/>
      <c r="D118" s="15" t="inlineStr">
        <is>
          <t>REF-2026.03.01-NOTICE-BANDS-3</t>
        </is>
      </c>
      <c r="E118" s="15" t="inlineStr">
        <is>
          <t>termination_notice_band</t>
        </is>
      </c>
      <c r="F118" s="14" t="inlineStr">
        <is>
          <t>Notice band 3 — all sectors, 1.00 years to open-ended — is contested</t>
        </is>
      </c>
      <c r="G118" s="15" t="inlineStr">
        <is>
          <t>No</t>
        </is>
      </c>
      <c r="H118" s="15" t="inlineStr"/>
      <c r="I118" s="15" t="inlineStr"/>
      <c r="J118" s="15" t="inlineStr">
        <is>
          <t>termination_notice_band:3:is_contested</t>
        </is>
      </c>
    </row>
    <row r="119">
      <c r="A119" s="14" t="inlineStr">
        <is>
          <t>Basic Conditions of Employment Act 75 of 1997</t>
        </is>
      </c>
      <c r="B119" s="14" t="inlineStr">
        <is>
          <t>s37(1)(c)(i)</t>
        </is>
      </c>
      <c r="C119" s="15" t="inlineStr"/>
      <c r="D119" s="15" t="inlineStr">
        <is>
          <t>REF-2026.03.01-NOTICE-BANDS-3</t>
        </is>
      </c>
      <c r="E119" s="15" t="inlineStr">
        <is>
          <t>termination_notice_band</t>
        </is>
      </c>
      <c r="F119" s="14" t="inlineStr">
        <is>
          <t>Notice band 3 — all sectors, 1.00 years to open-ended — notice unit</t>
        </is>
      </c>
      <c r="G119" s="15" t="inlineStr">
        <is>
          <t>Weeks</t>
        </is>
      </c>
      <c r="H119" s="15" t="inlineStr"/>
      <c r="I119" s="15" t="inlineStr"/>
      <c r="J119" s="15" t="inlineStr">
        <is>
          <t>termination_notice_band:3:notice_unit</t>
        </is>
      </c>
    </row>
    <row r="120">
      <c r="A120" s="14" t="inlineStr">
        <is>
          <t>Basic Conditions of Employment Act 75 of 1997</t>
        </is>
      </c>
      <c r="B120" s="14" t="inlineStr">
        <is>
          <t>s37(1)(c)(i)</t>
        </is>
      </c>
      <c r="C120" s="15" t="inlineStr"/>
      <c r="D120" s="15" t="inlineStr">
        <is>
          <t>REF-2026.03.01-NOTICE-BANDS-3</t>
        </is>
      </c>
      <c r="E120" s="15" t="inlineStr">
        <is>
          <t>termination_notice_band</t>
        </is>
      </c>
      <c r="F120" s="14" t="inlineStr">
        <is>
          <t>Notice band 3 — all sectors, 1.00 years to open-ended — notice value</t>
        </is>
      </c>
      <c r="G120" s="15" t="inlineStr">
        <is>
          <t>4,00</t>
        </is>
      </c>
      <c r="H120" s="15" t="inlineStr"/>
      <c r="I120" s="15" t="inlineStr"/>
      <c r="J120" s="15" t="inlineStr">
        <is>
          <t>termination_notice_band:3:notice_value</t>
        </is>
      </c>
    </row>
    <row r="121">
      <c r="A121" s="14" t="inlineStr">
        <is>
          <t>Basic Conditions of Employment Act 75 of 1997</t>
        </is>
      </c>
      <c r="B121" s="14" t="inlineStr">
        <is>
          <t>s37(1)(c)(i)</t>
        </is>
      </c>
      <c r="C121" s="15" t="inlineStr"/>
      <c r="D121" s="15" t="inlineStr">
        <is>
          <t>REF-2026.03.01-NOTICE-BANDS-3</t>
        </is>
      </c>
      <c r="E121" s="15" t="inlineStr">
        <is>
          <t>termination_notice_band</t>
        </is>
      </c>
      <c r="F121" s="14" t="inlineStr">
        <is>
          <t>Notice band 3 — all sectors, 1.00 years to open-ended — service from inclusive</t>
        </is>
      </c>
      <c r="G121" s="15" t="inlineStr">
        <is>
          <t>Yes</t>
        </is>
      </c>
      <c r="H121" s="15" t="inlineStr"/>
      <c r="I121" s="15" t="inlineStr"/>
      <c r="J121" s="15" t="inlineStr">
        <is>
          <t>termination_notice_band:3:service_from_inclusive</t>
        </is>
      </c>
    </row>
    <row r="122">
      <c r="A122" s="14" t="inlineStr">
        <is>
          <t>Basic Conditions of Employment Act 75 of 1997</t>
        </is>
      </c>
      <c r="B122" s="14" t="inlineStr">
        <is>
          <t>s37(1)(c)(i)</t>
        </is>
      </c>
      <c r="C122" s="15" t="inlineStr"/>
      <c r="D122" s="15" t="inlineStr">
        <is>
          <t>REF-2026.03.01-NOTICE-BANDS-3</t>
        </is>
      </c>
      <c r="E122" s="15" t="inlineStr">
        <is>
          <t>termination_notice_band</t>
        </is>
      </c>
      <c r="F122" s="14" t="inlineStr">
        <is>
          <t>Notice band 3 — all sectors, 1.00 years to open-ended — service from unit</t>
        </is>
      </c>
      <c r="G122" s="15" t="inlineStr">
        <is>
          <t>Years</t>
        </is>
      </c>
      <c r="H122" s="15" t="inlineStr"/>
      <c r="I122" s="15" t="inlineStr"/>
      <c r="J122" s="15" t="inlineStr">
        <is>
          <t>termination_notice_band:3:service_from_unit</t>
        </is>
      </c>
    </row>
    <row r="123">
      <c r="A123" s="14" t="inlineStr">
        <is>
          <t>Basic Conditions of Employment Act 75 of 1997</t>
        </is>
      </c>
      <c r="B123" s="14" t="inlineStr">
        <is>
          <t>s37(1)(c)(i)</t>
        </is>
      </c>
      <c r="C123" s="15" t="inlineStr"/>
      <c r="D123" s="15" t="inlineStr">
        <is>
          <t>REF-2026.03.01-NOTICE-BANDS-3</t>
        </is>
      </c>
      <c r="E123" s="15" t="inlineStr">
        <is>
          <t>termination_notice_band</t>
        </is>
      </c>
      <c r="F123" s="14" t="inlineStr">
        <is>
          <t>Notice band 3 — all sectors, 1.00 years to open-ended — service from value</t>
        </is>
      </c>
      <c r="G123" s="15" t="inlineStr">
        <is>
          <t>1,00</t>
        </is>
      </c>
      <c r="H123" s="15" t="inlineStr"/>
      <c r="I123" s="15" t="inlineStr"/>
      <c r="J123" s="15" t="inlineStr">
        <is>
          <t>termination_notice_band:3:service_from_value</t>
        </is>
      </c>
    </row>
    <row r="124">
      <c r="A124" s="14" t="inlineStr">
        <is>
          <t>Basic Conditions of Employment Act 75 of 1997</t>
        </is>
      </c>
      <c r="B124" s="14" t="inlineStr">
        <is>
          <t>s40(c)</t>
        </is>
      </c>
      <c r="C124" s="17" t="inlineStr">
        <is>
          <t>https://www.gov.za/sites/default/files/gcis_document/201409/a75-97.pdf</t>
        </is>
      </c>
      <c r="D124" s="15" t="inlineStr">
        <is>
          <t>REF-2026.03.01-TERMINATION</t>
        </is>
      </c>
      <c r="E124" s="15" t="inlineStr">
        <is>
          <t>statutory_parameter</t>
        </is>
      </c>
      <c r="F124" s="14" t="inlineStr">
        <is>
          <t>Statutory parameter PRO_RATA_LEAVE_MIN_SERVICE_MONTHS (all sectors) — unit</t>
        </is>
      </c>
      <c r="G124" s="15" t="inlineStr">
        <is>
          <t>Months</t>
        </is>
      </c>
      <c r="H124" s="15" t="inlineStr">
        <is>
          <t>1997-12-01</t>
        </is>
      </c>
      <c r="I124" s="15" t="inlineStr"/>
      <c r="J124" s="15" t="inlineStr">
        <is>
          <t>statutory_parameter:15:unit</t>
        </is>
      </c>
    </row>
    <row r="125">
      <c r="A125" s="14" t="inlineStr">
        <is>
          <t>Basic Conditions of Employment Act 75 of 1997</t>
        </is>
      </c>
      <c r="B125" s="14" t="inlineStr">
        <is>
          <t>s40(c)</t>
        </is>
      </c>
      <c r="C125" s="17" t="inlineStr">
        <is>
          <t>https://www.gov.za/sites/default/files/gcis_document/201409/a75-97.pdf</t>
        </is>
      </c>
      <c r="D125" s="15" t="inlineStr">
        <is>
          <t>REF-2026.03.01-TERMINATION</t>
        </is>
      </c>
      <c r="E125" s="15" t="inlineStr">
        <is>
          <t>statutory_parameter</t>
        </is>
      </c>
      <c r="F125" s="14" t="inlineStr">
        <is>
          <t>Statutory parameter PRO_RATA_LEAVE_MIN_SERVICE_MONTHS (all sectors) — value</t>
        </is>
      </c>
      <c r="G125" s="15" t="inlineStr">
        <is>
          <t>4,000000</t>
        </is>
      </c>
      <c r="H125" s="15" t="inlineStr">
        <is>
          <t>1997-12-01</t>
        </is>
      </c>
      <c r="I125" s="15" t="inlineStr"/>
      <c r="J125" s="15" t="inlineStr">
        <is>
          <t>statutory_parameter:15:value_numeric</t>
        </is>
      </c>
    </row>
    <row r="126">
      <c r="A126" s="14" t="inlineStr">
        <is>
          <t>Basic Conditions of Employment Act 75 of 1997</t>
        </is>
      </c>
      <c r="B126" s="14" t="inlineStr">
        <is>
          <t>s43(1). Commencement of Chapter 6.</t>
        </is>
      </c>
      <c r="C126" s="17" t="inlineStr">
        <is>
          <t>https://www.labour.gov.za/DocumentCenter/Acts/Basic%20Conditions%20of%20Employment/Act%20-%20Basic%20Conditions%20of%20Employment.pdf</t>
        </is>
      </c>
      <c r="D126" s="15" t="inlineStr">
        <is>
          <t>REF-2026.03.01-EMPLOYMENT</t>
        </is>
      </c>
      <c r="E126" s="15" t="inlineStr">
        <is>
          <t>statutory_parameter</t>
        </is>
      </c>
      <c r="F126" s="14" t="inlineStr">
        <is>
          <t>Statutory parameter MINIMUM_EMPLOYMENT_AGE (all sectors) — unit</t>
        </is>
      </c>
      <c r="G126" s="15" t="inlineStr">
        <is>
          <t>Years</t>
        </is>
      </c>
      <c r="H126" s="15" t="inlineStr">
        <is>
          <t>1997-12-01</t>
        </is>
      </c>
      <c r="I126" s="15" t="inlineStr"/>
      <c r="J126" s="15" t="inlineStr">
        <is>
          <t>statutory_parameter:10:unit</t>
        </is>
      </c>
    </row>
    <row r="127">
      <c r="A127" s="14" t="inlineStr">
        <is>
          <t>Basic Conditions of Employment Act 75 of 1997</t>
        </is>
      </c>
      <c r="B127" s="14" t="inlineStr">
        <is>
          <t>s43(1). Commencement of Chapter 6.</t>
        </is>
      </c>
      <c r="C127" s="17" t="inlineStr">
        <is>
          <t>https://www.labour.gov.za/DocumentCenter/Acts/Basic%20Conditions%20of%20Employment/Act%20-%20Basic%20Conditions%20of%20Employment.pdf</t>
        </is>
      </c>
      <c r="D127" s="15" t="inlineStr">
        <is>
          <t>REF-2026.03.01-EMPLOYMENT</t>
        </is>
      </c>
      <c r="E127" s="15" t="inlineStr">
        <is>
          <t>statutory_parameter</t>
        </is>
      </c>
      <c r="F127" s="14" t="inlineStr">
        <is>
          <t>Statutory parameter MINIMUM_EMPLOYMENT_AGE (all sectors) — value</t>
        </is>
      </c>
      <c r="G127" s="15" t="inlineStr">
        <is>
          <t>15,000000</t>
        </is>
      </c>
      <c r="H127" s="15" t="inlineStr">
        <is>
          <t>1997-12-01</t>
        </is>
      </c>
      <c r="I127" s="15" t="inlineStr"/>
      <c r="J127" s="15" t="inlineStr">
        <is>
          <t>statutory_parameter:10:value_numeric</t>
        </is>
      </c>
    </row>
    <row r="128">
      <c r="A128" s="14" t="inlineStr">
        <is>
          <t>Basic Conditions of Employment Act 75 of 1997</t>
        </is>
      </c>
      <c r="B128" s="14" t="inlineStr">
        <is>
          <t>ss 20-27</t>
        </is>
      </c>
      <c r="C128" s="15" t="inlineStr"/>
      <c r="D128" s="15" t="inlineStr">
        <is>
          <t>REF-2026.03.01-RULES-r4</t>
        </is>
      </c>
      <c r="E128" s="15" t="inlineStr">
        <is>
          <t>leave_rule_set</t>
        </is>
      </c>
      <c r="F128" s="14" t="inlineStr">
        <is>
          <t>Leave rules — all sectors — annual accrual days per month 5day</t>
        </is>
      </c>
      <c r="G128" s="15" t="inlineStr">
        <is>
          <t>1,250</t>
        </is>
      </c>
      <c r="H128" s="15" t="inlineStr">
        <is>
          <t>2026-03-01</t>
        </is>
      </c>
      <c r="I128" s="15" t="inlineStr"/>
      <c r="J128" s="15" t="inlineStr">
        <is>
          <t>leave_rule_set:1:annual_accrual_days_per_month_5day</t>
        </is>
      </c>
    </row>
    <row r="129">
      <c r="A129" s="14" t="inlineStr">
        <is>
          <t>Basic Conditions of Employment Act 75 of 1997</t>
        </is>
      </c>
      <c r="B129" s="14" t="inlineStr">
        <is>
          <t>ss 20-27</t>
        </is>
      </c>
      <c r="C129" s="15" t="inlineStr"/>
      <c r="D129" s="15" t="inlineStr">
        <is>
          <t>REF-2026.03.01-RULES-r4</t>
        </is>
      </c>
      <c r="E129" s="15" t="inlineStr">
        <is>
          <t>leave_rule_set</t>
        </is>
      </c>
      <c r="F129" s="14" t="inlineStr">
        <is>
          <t>Leave rules — all sectors — annual accrual days per month 6day</t>
        </is>
      </c>
      <c r="G129" s="15" t="inlineStr">
        <is>
          <t>1,500</t>
        </is>
      </c>
      <c r="H129" s="15" t="inlineStr">
        <is>
          <t>2026-03-01</t>
        </is>
      </c>
      <c r="I129" s="15" t="inlineStr"/>
      <c r="J129" s="15" t="inlineStr">
        <is>
          <t>leave_rule_set:1:annual_accrual_days_per_month_6day</t>
        </is>
      </c>
    </row>
    <row r="130">
      <c r="A130" s="14" t="inlineStr">
        <is>
          <t>Basic Conditions of Employment Act 75 of 1997</t>
        </is>
      </c>
      <c r="B130" s="14" t="inlineStr">
        <is>
          <t>ss 20-27</t>
        </is>
      </c>
      <c r="C130" s="15" t="inlineStr"/>
      <c r="D130" s="15" t="inlineStr">
        <is>
          <t>REF-2026.03.01-RULES-r4</t>
        </is>
      </c>
      <c r="E130" s="15" t="inlineStr">
        <is>
          <t>leave_rule_set</t>
        </is>
      </c>
      <c r="F130" s="14" t="inlineStr">
        <is>
          <t>Leave rules — all sectors — annual accrual ratio days worked</t>
        </is>
      </c>
      <c r="G130" s="15" t="inlineStr">
        <is>
          <t>17</t>
        </is>
      </c>
      <c r="H130" s="15" t="inlineStr">
        <is>
          <t>2026-03-01</t>
        </is>
      </c>
      <c r="I130" s="15" t="inlineStr"/>
      <c r="J130" s="15" t="inlineStr">
        <is>
          <t>leave_rule_set:1:annual_accrual_ratio_days_worked</t>
        </is>
      </c>
    </row>
    <row r="131">
      <c r="A131" s="14" t="inlineStr">
        <is>
          <t>Basic Conditions of Employment Act 75 of 1997</t>
        </is>
      </c>
      <c r="B131" s="14" t="inlineStr">
        <is>
          <t>ss 20-27</t>
        </is>
      </c>
      <c r="C131" s="15" t="inlineStr"/>
      <c r="D131" s="15" t="inlineStr">
        <is>
          <t>REF-2026.03.01-RULES-r4</t>
        </is>
      </c>
      <c r="E131" s="15" t="inlineStr">
        <is>
          <t>leave_rule_set</t>
        </is>
      </c>
      <c r="F131" s="14" t="inlineStr">
        <is>
          <t>Leave rules — all sectors — annual accrual ratio hours worked</t>
        </is>
      </c>
      <c r="G131" s="15" t="inlineStr">
        <is>
          <t>17</t>
        </is>
      </c>
      <c r="H131" s="15" t="inlineStr">
        <is>
          <t>2026-03-01</t>
        </is>
      </c>
      <c r="I131" s="15" t="inlineStr"/>
      <c r="J131" s="15" t="inlineStr">
        <is>
          <t>leave_rule_set:1:annual_accrual_ratio_hours_worked</t>
        </is>
      </c>
    </row>
    <row r="132">
      <c r="A132" s="14" t="inlineStr">
        <is>
          <t>Basic Conditions of Employment Act 75 of 1997</t>
        </is>
      </c>
      <c r="B132" s="14" t="inlineStr">
        <is>
          <t>ss 20-27</t>
        </is>
      </c>
      <c r="C132" s="15" t="inlineStr"/>
      <c r="D132" s="15" t="inlineStr">
        <is>
          <t>REF-2026.03.01-RULES-r4</t>
        </is>
      </c>
      <c r="E132" s="15" t="inlineStr">
        <is>
          <t>leave_rule_set</t>
        </is>
      </c>
      <c r="F132" s="14" t="inlineStr">
        <is>
          <t>Leave rules — all sectors — annual leave cycle months</t>
        </is>
      </c>
      <c r="G132" s="15" t="inlineStr">
        <is>
          <t>12</t>
        </is>
      </c>
      <c r="H132" s="15" t="inlineStr">
        <is>
          <t>2026-03-01</t>
        </is>
      </c>
      <c r="I132" s="15" t="inlineStr"/>
      <c r="J132" s="15" t="inlineStr">
        <is>
          <t>leave_rule_set:1:annual_leave_cycle_months</t>
        </is>
      </c>
    </row>
    <row r="133">
      <c r="A133" s="14" t="inlineStr">
        <is>
          <t>Basic Conditions of Employment Act 75 of 1997</t>
        </is>
      </c>
      <c r="B133" s="14" t="inlineStr">
        <is>
          <t>ss 20-27</t>
        </is>
      </c>
      <c r="C133" s="15" t="inlineStr"/>
      <c r="D133" s="15" t="inlineStr">
        <is>
          <t>REF-2026.03.01-RULES-r4</t>
        </is>
      </c>
      <c r="E133" s="15" t="inlineStr">
        <is>
          <t>leave_rule_set</t>
        </is>
      </c>
      <c r="F133" s="14" t="inlineStr">
        <is>
          <t>Leave rules — all sectors — annual leave days per cycle 5day</t>
        </is>
      </c>
      <c r="G133" s="15" t="inlineStr">
        <is>
          <t>15,000</t>
        </is>
      </c>
      <c r="H133" s="15" t="inlineStr">
        <is>
          <t>2026-03-01</t>
        </is>
      </c>
      <c r="I133" s="15" t="inlineStr"/>
      <c r="J133" s="15" t="inlineStr">
        <is>
          <t>leave_rule_set:1:annual_leave_days_per_cycle_5day</t>
        </is>
      </c>
    </row>
    <row r="134">
      <c r="A134" s="14" t="inlineStr">
        <is>
          <t>Basic Conditions of Employment Act 75 of 1997</t>
        </is>
      </c>
      <c r="B134" s="14" t="inlineStr">
        <is>
          <t>ss 20-27</t>
        </is>
      </c>
      <c r="C134" s="15" t="inlineStr"/>
      <c r="D134" s="15" t="inlineStr">
        <is>
          <t>REF-2026.03.01-RULES-r4</t>
        </is>
      </c>
      <c r="E134" s="15" t="inlineStr">
        <is>
          <t>leave_rule_set</t>
        </is>
      </c>
      <c r="F134" s="14" t="inlineStr">
        <is>
          <t>Leave rules — all sectors — annual leave days per cycle 6day</t>
        </is>
      </c>
      <c r="G134" s="15" t="inlineStr">
        <is>
          <t>18,000</t>
        </is>
      </c>
      <c r="H134" s="15" t="inlineStr">
        <is>
          <t>2026-03-01</t>
        </is>
      </c>
      <c r="I134" s="15" t="inlineStr"/>
      <c r="J134" s="15" t="inlineStr">
        <is>
          <t>leave_rule_set:1:annual_leave_days_per_cycle_6day</t>
        </is>
      </c>
    </row>
    <row r="135">
      <c r="A135" s="14" t="inlineStr">
        <is>
          <t>Basic Conditions of Employment Act 75 of 1997</t>
        </is>
      </c>
      <c r="B135" s="14" t="inlineStr">
        <is>
          <t>ss 20-27</t>
        </is>
      </c>
      <c r="C135" s="15" t="inlineStr"/>
      <c r="D135" s="15" t="inlineStr">
        <is>
          <t>REF-2026.03.01-RULES-r4</t>
        </is>
      </c>
      <c r="E135" s="15" t="inlineStr">
        <is>
          <t>leave_rule_set</t>
        </is>
      </c>
      <c r="F135" s="14" t="inlineStr">
        <is>
          <t>Leave rules — all sectors — annual leave forfeit months</t>
        </is>
      </c>
      <c r="G135" s="15" t="inlineStr">
        <is>
          <t>6</t>
        </is>
      </c>
      <c r="H135" s="15" t="inlineStr">
        <is>
          <t>2026-03-01</t>
        </is>
      </c>
      <c r="I135" s="15" t="inlineStr"/>
      <c r="J135" s="15" t="inlineStr">
        <is>
          <t>leave_rule_set:1:annual_leave_forfeit_months</t>
        </is>
      </c>
    </row>
    <row r="136">
      <c r="A136" s="14" t="inlineStr">
        <is>
          <t>Basic Conditions of Employment Act 75 of 1997</t>
        </is>
      </c>
      <c r="B136" s="14" t="inlineStr">
        <is>
          <t>ss 20-27</t>
        </is>
      </c>
      <c r="C136" s="15" t="inlineStr"/>
      <c r="D136" s="15" t="inlineStr">
        <is>
          <t>REF-2026.03.01-RULES-r4</t>
        </is>
      </c>
      <c r="E136" s="15" t="inlineStr">
        <is>
          <t>leave_rule_set</t>
        </is>
      </c>
      <c r="F136" s="14" t="inlineStr">
        <is>
          <t>Leave rules — all sectors — annual leave payable on termination</t>
        </is>
      </c>
      <c r="G136" s="15" t="inlineStr">
        <is>
          <t>Yes</t>
        </is>
      </c>
      <c r="H136" s="15" t="inlineStr">
        <is>
          <t>2026-03-01</t>
        </is>
      </c>
      <c r="I136" s="15" t="inlineStr"/>
      <c r="J136" s="15" t="inlineStr">
        <is>
          <t>leave_rule_set:1:annual_leave_payable_on_termination</t>
        </is>
      </c>
    </row>
    <row r="137">
      <c r="A137" s="14" t="inlineStr">
        <is>
          <t>Basic Conditions of Employment Act 75 of 1997</t>
        </is>
      </c>
      <c r="B137" s="14" t="inlineStr">
        <is>
          <t>ss 20-27</t>
        </is>
      </c>
      <c r="C137" s="15" t="inlineStr"/>
      <c r="D137" s="15" t="inlineStr">
        <is>
          <t>REF-2026.03.01-RULES-r4</t>
        </is>
      </c>
      <c r="E137" s="15" t="inlineStr">
        <is>
          <t>leave_rule_set</t>
        </is>
      </c>
      <c r="F137" s="14" t="inlineStr">
        <is>
          <t>Leave rules — all sectors — family resp min days per week</t>
        </is>
      </c>
      <c r="G137" s="15" t="inlineStr">
        <is>
          <t>4</t>
        </is>
      </c>
      <c r="H137" s="15" t="inlineStr">
        <is>
          <t>2026-03-01</t>
        </is>
      </c>
      <c r="I137" s="15" t="inlineStr"/>
      <c r="J137" s="15" t="inlineStr">
        <is>
          <t>leave_rule_set:1:family_resp_min_days_per_week</t>
        </is>
      </c>
    </row>
    <row r="138">
      <c r="A138" s="14" t="inlineStr">
        <is>
          <t>Basic Conditions of Employment Act 75 of 1997</t>
        </is>
      </c>
      <c r="B138" s="14" t="inlineStr">
        <is>
          <t>ss 20-27</t>
        </is>
      </c>
      <c r="C138" s="15" t="inlineStr"/>
      <c r="D138" s="15" t="inlineStr">
        <is>
          <t>REF-2026.03.01-RULES-r4</t>
        </is>
      </c>
      <c r="E138" s="15" t="inlineStr">
        <is>
          <t>leave_rule_set</t>
        </is>
      </c>
      <c r="F138" s="14" t="inlineStr">
        <is>
          <t>Leave rules — all sectors — family resp min service months</t>
        </is>
      </c>
      <c r="G138" s="15" t="inlineStr">
        <is>
          <t>4</t>
        </is>
      </c>
      <c r="H138" s="15" t="inlineStr">
        <is>
          <t>2026-03-01</t>
        </is>
      </c>
      <c r="I138" s="15" t="inlineStr"/>
      <c r="J138" s="15" t="inlineStr">
        <is>
          <t>leave_rule_set:1:family_resp_min_service_months</t>
        </is>
      </c>
    </row>
    <row r="139">
      <c r="A139" s="14" t="inlineStr">
        <is>
          <t>Basic Conditions of Employment Act 75 of 1997</t>
        </is>
      </c>
      <c r="B139" s="14" t="inlineStr">
        <is>
          <t>ss 20-27</t>
        </is>
      </c>
      <c r="C139" s="15" t="inlineStr"/>
      <c r="D139" s="15" t="inlineStr">
        <is>
          <t>REF-2026.03.01-RULES-r4</t>
        </is>
      </c>
      <c r="E139" s="15" t="inlineStr">
        <is>
          <t>leave_rule_set</t>
        </is>
      </c>
      <c r="F139" s="14" t="inlineStr">
        <is>
          <t>Leave rules — all sectors — family responsibility days</t>
        </is>
      </c>
      <c r="G139" s="15" t="inlineStr">
        <is>
          <t>3</t>
        </is>
      </c>
      <c r="H139" s="15" t="inlineStr">
        <is>
          <t>2026-03-01</t>
        </is>
      </c>
      <c r="I139" s="15" t="inlineStr"/>
      <c r="J139" s="15" t="inlineStr">
        <is>
          <t>leave_rule_set:1:family_responsibility_days</t>
        </is>
      </c>
    </row>
    <row r="140">
      <c r="A140" s="14" t="inlineStr">
        <is>
          <t>Basic Conditions of Employment Act 75 of 1997</t>
        </is>
      </c>
      <c r="B140" s="14" t="inlineStr">
        <is>
          <t>ss 20-27</t>
        </is>
      </c>
      <c r="C140" s="15" t="inlineStr"/>
      <c r="D140" s="15" t="inlineStr">
        <is>
          <t>REF-2026.03.01-RULES-r4</t>
        </is>
      </c>
      <c r="E140" s="15" t="inlineStr">
        <is>
          <t>leave_rule_set</t>
        </is>
      </c>
      <c r="F140" s="14" t="inlineStr">
        <is>
          <t>Leave rules — all sectors — has long service annual leave</t>
        </is>
      </c>
      <c r="G140" s="15" t="inlineStr">
        <is>
          <t>No</t>
        </is>
      </c>
      <c r="H140" s="15" t="inlineStr">
        <is>
          <t>2026-03-01</t>
        </is>
      </c>
      <c r="I140" s="15" t="inlineStr"/>
      <c r="J140" s="15" t="inlineStr">
        <is>
          <t>leave_rule_set:1:has_long_service_annual_leave</t>
        </is>
      </c>
    </row>
    <row r="141">
      <c r="A141" s="14" t="inlineStr">
        <is>
          <t>Basic Conditions of Employment Act 75 of 1997</t>
        </is>
      </c>
      <c r="B141" s="14" t="inlineStr">
        <is>
          <t>ss 20-27</t>
        </is>
      </c>
      <c r="C141" s="15" t="inlineStr"/>
      <c r="D141" s="15" t="inlineStr">
        <is>
          <t>REF-2026.03.01-RULES-r4</t>
        </is>
      </c>
      <c r="E141" s="15" t="inlineStr">
        <is>
          <t>leave_rule_set</t>
        </is>
      </c>
      <c r="F141" s="14" t="inlineStr">
        <is>
          <t>Leave rules — all sectors — maternity earliest start weeks before birth</t>
        </is>
      </c>
      <c r="G141" s="15" t="inlineStr">
        <is>
          <t>4</t>
        </is>
      </c>
      <c r="H141" s="15" t="inlineStr">
        <is>
          <t>2026-03-01</t>
        </is>
      </c>
      <c r="I141" s="15" t="inlineStr"/>
      <c r="J141" s="15" t="inlineStr">
        <is>
          <t>leave_rule_set:1:maternity_earliest_start_weeks_before_birth</t>
        </is>
      </c>
    </row>
    <row r="142">
      <c r="A142" s="14" t="inlineStr">
        <is>
          <t>Basic Conditions of Employment Act 75 of 1997</t>
        </is>
      </c>
      <c r="B142" s="14" t="inlineStr">
        <is>
          <t>ss 20-27</t>
        </is>
      </c>
      <c r="C142" s="15" t="inlineStr"/>
      <c r="D142" s="15" t="inlineStr">
        <is>
          <t>REF-2026.03.01-RULES-r4</t>
        </is>
      </c>
      <c r="E142" s="15" t="inlineStr">
        <is>
          <t>leave_rule_set</t>
        </is>
      </c>
      <c r="F142" s="14" t="inlineStr">
        <is>
          <t>Leave rules — all sectors — maternity no work weeks after birth</t>
        </is>
      </c>
      <c r="G142" s="15" t="inlineStr">
        <is>
          <t>6</t>
        </is>
      </c>
      <c r="H142" s="15" t="inlineStr">
        <is>
          <t>2026-03-01</t>
        </is>
      </c>
      <c r="I142" s="15" t="inlineStr"/>
      <c r="J142" s="15" t="inlineStr">
        <is>
          <t>leave_rule_set:1:maternity_no_work_weeks_after_birth</t>
        </is>
      </c>
    </row>
    <row r="143">
      <c r="A143" s="14" t="inlineStr">
        <is>
          <t>Basic Conditions of Employment Act 75 of 1997</t>
        </is>
      </c>
      <c r="B143" s="14" t="inlineStr">
        <is>
          <t>ss 20-27</t>
        </is>
      </c>
      <c r="C143" s="15" t="inlineStr"/>
      <c r="D143" s="15" t="inlineStr">
        <is>
          <t>REF-2026.03.01-RULES-r4</t>
        </is>
      </c>
      <c r="E143" s="15" t="inlineStr">
        <is>
          <t>leave_rule_set</t>
        </is>
      </c>
      <c r="F143" s="14" t="inlineStr">
        <is>
          <t>Leave rules — all sectors — parental leave additional days</t>
        </is>
      </c>
      <c r="G143" s="15" t="inlineStr">
        <is>
          <t>10</t>
        </is>
      </c>
      <c r="H143" s="15" t="inlineStr">
        <is>
          <t>2026-03-01</t>
        </is>
      </c>
      <c r="I143" s="15" t="inlineStr"/>
      <c r="J143" s="15" t="inlineStr">
        <is>
          <t>leave_rule_set:1:parental_leave_additional_days</t>
        </is>
      </c>
    </row>
    <row r="144">
      <c r="A144" s="14" t="inlineStr">
        <is>
          <t>Basic Conditions of Employment Act 75 of 1997</t>
        </is>
      </c>
      <c r="B144" s="14" t="inlineStr">
        <is>
          <t>ss 20-27</t>
        </is>
      </c>
      <c r="C144" s="15" t="inlineStr"/>
      <c r="D144" s="15" t="inlineStr">
        <is>
          <t>REF-2026.03.01-RULES-r4</t>
        </is>
      </c>
      <c r="E144" s="15" t="inlineStr">
        <is>
          <t>leave_rule_set</t>
        </is>
      </c>
      <c r="F144" s="14" t="inlineStr">
        <is>
          <t>Leave rules — all sectors — parental leave shareable</t>
        </is>
      </c>
      <c r="G144" s="15" t="inlineStr">
        <is>
          <t>Yes</t>
        </is>
      </c>
      <c r="H144" s="15" t="inlineStr">
        <is>
          <t>2026-03-01</t>
        </is>
      </c>
      <c r="I144" s="15" t="inlineStr"/>
      <c r="J144" s="15" t="inlineStr">
        <is>
          <t>leave_rule_set:1:parental_leave_shareable</t>
        </is>
      </c>
    </row>
    <row r="145">
      <c r="A145" s="14" t="inlineStr">
        <is>
          <t>Basic Conditions of Employment Act 75 of 1997</t>
        </is>
      </c>
      <c r="B145" s="14" t="inlineStr">
        <is>
          <t>ss 20-27</t>
        </is>
      </c>
      <c r="C145" s="15" t="inlineStr"/>
      <c r="D145" s="15" t="inlineStr">
        <is>
          <t>REF-2026.03.01-RULES-r4</t>
        </is>
      </c>
      <c r="E145" s="15" t="inlineStr">
        <is>
          <t>leave_rule_set</t>
        </is>
      </c>
      <c r="F145" s="14" t="inlineStr">
        <is>
          <t>Leave rules — all sectors — parental leave total months</t>
        </is>
      </c>
      <c r="G145" s="15" t="inlineStr">
        <is>
          <t>4</t>
        </is>
      </c>
      <c r="H145" s="15" t="inlineStr">
        <is>
          <t>2026-03-01</t>
        </is>
      </c>
      <c r="I145" s="15" t="inlineStr"/>
      <c r="J145" s="15" t="inlineStr">
        <is>
          <t>leave_rule_set:1:parental_leave_total_months</t>
        </is>
      </c>
    </row>
    <row r="146">
      <c r="A146" s="14" t="inlineStr">
        <is>
          <t>Basic Conditions of Employment Act 75 of 1997</t>
        </is>
      </c>
      <c r="B146" s="14" t="inlineStr">
        <is>
          <t>ss 20-27</t>
        </is>
      </c>
      <c r="C146" s="15" t="inlineStr"/>
      <c r="D146" s="15" t="inlineStr">
        <is>
          <t>REF-2026.03.01-RULES-r4</t>
        </is>
      </c>
      <c r="E146" s="15" t="inlineStr">
        <is>
          <t>leave_rule_set</t>
        </is>
      </c>
      <c r="F146" s="14" t="inlineStr">
        <is>
          <t>Leave rules — all sectors — sick leave cycle months</t>
        </is>
      </c>
      <c r="G146" s="15" t="inlineStr">
        <is>
          <t>36</t>
        </is>
      </c>
      <c r="H146" s="15" t="inlineStr">
        <is>
          <t>2026-03-01</t>
        </is>
      </c>
      <c r="I146" s="15" t="inlineStr"/>
      <c r="J146" s="15" t="inlineStr">
        <is>
          <t>leave_rule_set:1:sick_leave_cycle_months</t>
        </is>
      </c>
    </row>
    <row r="147">
      <c r="A147" s="14" t="inlineStr">
        <is>
          <t>Basic Conditions of Employment Act 75 of 1997</t>
        </is>
      </c>
      <c r="B147" s="14" t="inlineStr">
        <is>
          <t>ss 20-27</t>
        </is>
      </c>
      <c r="C147" s="15" t="inlineStr"/>
      <c r="D147" s="15" t="inlineStr">
        <is>
          <t>REF-2026.03.01-RULES-r4</t>
        </is>
      </c>
      <c r="E147" s="15" t="inlineStr">
        <is>
          <t>leave_rule_set</t>
        </is>
      </c>
      <c r="F147" s="14" t="inlineStr">
        <is>
          <t>Leave rules — all sectors — sick leave first six months ratio</t>
        </is>
      </c>
      <c r="G147" s="15" t="inlineStr">
        <is>
          <t>26</t>
        </is>
      </c>
      <c r="H147" s="15" t="inlineStr">
        <is>
          <t>2026-03-01</t>
        </is>
      </c>
      <c r="I147" s="15" t="inlineStr"/>
      <c r="J147" s="15" t="inlineStr">
        <is>
          <t>leave_rule_set:1:sick_leave_first_six_months_ratio</t>
        </is>
      </c>
    </row>
    <row r="148">
      <c r="A148" s="14" t="inlineStr">
        <is>
          <t>Basic Conditions of Employment Act 75 of 1997</t>
        </is>
      </c>
      <c r="B148" s="14" t="inlineStr">
        <is>
          <t>ss 20-27</t>
        </is>
      </c>
      <c r="C148" s="15" t="inlineStr"/>
      <c r="D148" s="15" t="inlineStr">
        <is>
          <t>REF-2026.03.01-RULES-r4</t>
        </is>
      </c>
      <c r="E148" s="15" t="inlineStr">
        <is>
          <t>leave_rule_set</t>
        </is>
      </c>
      <c r="F148" s="14" t="inlineStr">
        <is>
          <t>Leave rules — all sectors — sick leave payable on termination</t>
        </is>
      </c>
      <c r="G148" s="15" t="inlineStr">
        <is>
          <t>No</t>
        </is>
      </c>
      <c r="H148" s="15" t="inlineStr">
        <is>
          <t>2026-03-01</t>
        </is>
      </c>
      <c r="I148" s="15" t="inlineStr"/>
      <c r="J148" s="15" t="inlineStr">
        <is>
          <t>leave_rule_set:1:sick_leave_payable_on_termination</t>
        </is>
      </c>
    </row>
    <row r="149">
      <c r="A149" s="14" t="inlineStr">
        <is>
          <t>Basic Conditions of Employment Act 75 of 1997</t>
        </is>
      </c>
      <c r="B149" s="14" t="inlineStr">
        <is>
          <t>ss 20-27</t>
        </is>
      </c>
      <c r="C149" s="15" t="inlineStr"/>
      <c r="D149" s="15" t="inlineStr">
        <is>
          <t>REF-2026.03.01-RULES-r4</t>
        </is>
      </c>
      <c r="E149" s="15" t="inlineStr">
        <is>
          <t>leave_rule_set</t>
        </is>
      </c>
      <c r="F149" s="14" t="inlineStr">
        <is>
          <t>Leave rules — all sectors — sick leave weeks equivalent</t>
        </is>
      </c>
      <c r="G149" s="15" t="inlineStr">
        <is>
          <t>6,00</t>
        </is>
      </c>
      <c r="H149" s="15" t="inlineStr">
        <is>
          <t>2026-03-01</t>
        </is>
      </c>
      <c r="I149" s="15" t="inlineStr"/>
      <c r="J149" s="15" t="inlineStr">
        <is>
          <t>leave_rule_set:1:sick_leave_weeks_equivalent</t>
        </is>
      </c>
    </row>
    <row r="150">
      <c r="A150" s="14" t="inlineStr">
        <is>
          <t>Basic Conditions of Employment Act 75 of 1997</t>
        </is>
      </c>
      <c r="B150" s="14" t="inlineStr">
        <is>
          <t>ss 37 and 41</t>
        </is>
      </c>
      <c r="C150" s="15" t="inlineStr"/>
      <c r="D150" s="15" t="inlineStr">
        <is>
          <t>REF-2026.03.01-RULES-r4</t>
        </is>
      </c>
      <c r="E150" s="15" t="inlineStr">
        <is>
          <t>termination_rule_set</t>
        </is>
      </c>
      <c r="F150" s="14" t="inlineStr">
        <is>
          <t>Termination rules — all sectors — annual bonus min service months</t>
        </is>
      </c>
      <c r="G150" s="15" t="inlineStr">
        <is>
          <t>0</t>
        </is>
      </c>
      <c r="H150" s="15" t="inlineStr">
        <is>
          <t>2026-03-01</t>
        </is>
      </c>
      <c r="I150" s="15" t="inlineStr"/>
      <c r="J150" s="15" t="inlineStr">
        <is>
          <t>termination_rule_set:1:annual_bonus_min_service_months</t>
        </is>
      </c>
    </row>
    <row r="151">
      <c r="A151" s="14" t="inlineStr">
        <is>
          <t>Basic Conditions of Employment Act 75 of 1997</t>
        </is>
      </c>
      <c r="B151" s="14" t="inlineStr">
        <is>
          <t>ss 37 and 41</t>
        </is>
      </c>
      <c r="C151" s="15" t="inlineStr"/>
      <c r="D151" s="15" t="inlineStr">
        <is>
          <t>REF-2026.03.01-RULES-r4</t>
        </is>
      </c>
      <c r="E151" s="15" t="inlineStr">
        <is>
          <t>termination_rule_set</t>
        </is>
      </c>
      <c r="F151" s="14" t="inlineStr">
        <is>
          <t>Termination rules — all sectors — annual bonus pro rata on termination</t>
        </is>
      </c>
      <c r="G151" s="15" t="inlineStr">
        <is>
          <t>No</t>
        </is>
      </c>
      <c r="H151" s="15" t="inlineStr">
        <is>
          <t>2026-03-01</t>
        </is>
      </c>
      <c r="I151" s="15" t="inlineStr"/>
      <c r="J151" s="15" t="inlineStr">
        <is>
          <t>termination_rule_set:1:annual_bonus_pro_rata_on_termination</t>
        </is>
      </c>
    </row>
    <row r="152">
      <c r="A152" s="14" t="inlineStr">
        <is>
          <t>Basic Conditions of Employment Act 75 of 1997</t>
        </is>
      </c>
      <c r="B152" s="14" t="inlineStr">
        <is>
          <t>ss 37 and 41</t>
        </is>
      </c>
      <c r="C152" s="15" t="inlineStr"/>
      <c r="D152" s="15" t="inlineStr">
        <is>
          <t>REF-2026.03.01-RULES-r4</t>
        </is>
      </c>
      <c r="E152" s="15" t="inlineStr">
        <is>
          <t>termination_rule_set</t>
        </is>
      </c>
      <c r="F152" s="14" t="inlineStr">
        <is>
          <t>Termination rules — all sectors — annual bonus weeks</t>
        </is>
      </c>
      <c r="G152" s="15" t="inlineStr">
        <is>
          <t>0,000</t>
        </is>
      </c>
      <c r="H152" s="15" t="inlineStr">
        <is>
          <t>2026-03-01</t>
        </is>
      </c>
      <c r="I152" s="15" t="inlineStr"/>
      <c r="J152" s="15" t="inlineStr">
        <is>
          <t>termination_rule_set:1:annual_bonus_weeks</t>
        </is>
      </c>
    </row>
    <row r="153">
      <c r="A153" s="14" t="inlineStr">
        <is>
          <t>Basic Conditions of Employment Act 75 of 1997</t>
        </is>
      </c>
      <c r="B153" s="14" t="inlineStr">
        <is>
          <t>ss 37 and 41</t>
        </is>
      </c>
      <c r="C153" s="15" t="inlineStr"/>
      <c r="D153" s="15" t="inlineStr">
        <is>
          <t>REF-2026.03.01-RULES-r4</t>
        </is>
      </c>
      <c r="E153" s="15" t="inlineStr">
        <is>
          <t>termination_rule_set</t>
        </is>
      </c>
      <c r="F153" s="14" t="inlineStr">
        <is>
          <t>Termination rules — all sectors — severance requires operational reason</t>
        </is>
      </c>
      <c r="G153" s="15" t="inlineStr">
        <is>
          <t>Yes</t>
        </is>
      </c>
      <c r="H153" s="15" t="inlineStr">
        <is>
          <t>2026-03-01</t>
        </is>
      </c>
      <c r="I153" s="15" t="inlineStr"/>
      <c r="J153" s="15" t="inlineStr">
        <is>
          <t>termination_rule_set:1:severance_requires_operational_reason</t>
        </is>
      </c>
    </row>
    <row r="154">
      <c r="A154" s="14" t="inlineStr">
        <is>
          <t>Basic Conditions of Employment Act 75 of 1997</t>
        </is>
      </c>
      <c r="B154" s="14" t="inlineStr">
        <is>
          <t>ss 37 and 41</t>
        </is>
      </c>
      <c r="C154" s="15" t="inlineStr"/>
      <c r="D154" s="15" t="inlineStr">
        <is>
          <t>REF-2026.03.01-RULES-r4</t>
        </is>
      </c>
      <c r="E154" s="15" t="inlineStr">
        <is>
          <t>termination_rule_set</t>
        </is>
      </c>
      <c r="F154" s="14" t="inlineStr">
        <is>
          <t>Termination rules — all sectors — severance weeks per completed year</t>
        </is>
      </c>
      <c r="G154" s="15" t="inlineStr">
        <is>
          <t>1,00</t>
        </is>
      </c>
      <c r="H154" s="15" t="inlineStr">
        <is>
          <t>2026-03-01</t>
        </is>
      </c>
      <c r="I154" s="15" t="inlineStr"/>
      <c r="J154" s="15" t="inlineStr">
        <is>
          <t>termination_rule_set:1:severance_weeks_per_completed_year</t>
        </is>
      </c>
    </row>
    <row r="155">
      <c r="A155" s="14" t="inlineStr">
        <is>
          <t>Basic Conditions of Employment Act 75 of 1997</t>
        </is>
      </c>
      <c r="B155" s="14" t="inlineStr">
        <is>
          <t>ss 9-18 and s9A</t>
        </is>
      </c>
      <c r="C155" s="15" t="inlineStr"/>
      <c r="D155" s="15" t="inlineStr">
        <is>
          <t>REF-2026.03.01-RULES-r4</t>
        </is>
      </c>
      <c r="E155" s="15" t="inlineStr">
        <is>
          <t>working_time_rule_set</t>
        </is>
      </c>
      <c r="F155" s="14" t="inlineStr">
        <is>
          <t>Working time rules — all sectors — accommodation deduction capped</t>
        </is>
      </c>
      <c r="G155" s="15" t="inlineStr">
        <is>
          <t>No</t>
        </is>
      </c>
      <c r="H155" s="15" t="inlineStr">
        <is>
          <t>2026-03-01</t>
        </is>
      </c>
      <c r="I155" s="15" t="inlineStr"/>
      <c r="J155" s="15" t="inlineStr">
        <is>
          <t>working_time_rule_set:1:accommodation_deduction_capped</t>
        </is>
      </c>
    </row>
    <row r="156">
      <c r="A156" s="14" t="inlineStr">
        <is>
          <t>Basic Conditions of Employment Act 75 of 1997</t>
        </is>
      </c>
      <c r="B156" s="14" t="inlineStr">
        <is>
          <t>ss 9-18 and s9A</t>
        </is>
      </c>
      <c r="C156" s="15" t="inlineStr"/>
      <c r="D156" s="15" t="inlineStr">
        <is>
          <t>REF-2026.03.01-RULES-r4</t>
        </is>
      </c>
      <c r="E156" s="15" t="inlineStr">
        <is>
          <t>working_time_rule_set</t>
        </is>
      </c>
      <c r="F156" s="14" t="inlineStr">
        <is>
          <t>Working time rules — all sectors — daily rest hours</t>
        </is>
      </c>
      <c r="G156" s="15" t="inlineStr">
        <is>
          <t>12</t>
        </is>
      </c>
      <c r="H156" s="15" t="inlineStr">
        <is>
          <t>2026-03-01</t>
        </is>
      </c>
      <c r="I156" s="15" t="inlineStr"/>
      <c r="J156" s="15" t="inlineStr">
        <is>
          <t>working_time_rule_set:1:daily_rest_hours</t>
        </is>
      </c>
    </row>
    <row r="157">
      <c r="A157" s="14" t="inlineStr">
        <is>
          <t>Basic Conditions of Employment Act 75 of 1997</t>
        </is>
      </c>
      <c r="B157" s="14" t="inlineStr">
        <is>
          <t>ss 9-18 and s9A</t>
        </is>
      </c>
      <c r="C157" s="15" t="inlineStr"/>
      <c r="D157" s="15" t="inlineStr">
        <is>
          <t>REF-2026.03.01-RULES-r4</t>
        </is>
      </c>
      <c r="E157" s="15" t="inlineStr">
        <is>
          <t>working_time_rule_set</t>
        </is>
      </c>
      <c r="F157" s="14" t="inlineStr">
        <is>
          <t>Working time rules — all sectors — max overtime hours per day</t>
        </is>
      </c>
      <c r="G157" s="15" t="inlineStr">
        <is>
          <t>3,00</t>
        </is>
      </c>
      <c r="H157" s="15" t="inlineStr">
        <is>
          <t>2026-03-01</t>
        </is>
      </c>
      <c r="I157" s="15" t="inlineStr"/>
      <c r="J157" s="15" t="inlineStr">
        <is>
          <t>working_time_rule_set:1:max_overtime_hours_per_day</t>
        </is>
      </c>
    </row>
    <row r="158">
      <c r="A158" s="14" t="inlineStr">
        <is>
          <t>Basic Conditions of Employment Act 75 of 1997</t>
        </is>
      </c>
      <c r="B158" s="14" t="inlineStr">
        <is>
          <t>ss 9-18 and s9A</t>
        </is>
      </c>
      <c r="C158" s="15" t="inlineStr"/>
      <c r="D158" s="15" t="inlineStr">
        <is>
          <t>REF-2026.03.01-RULES-r4</t>
        </is>
      </c>
      <c r="E158" s="15" t="inlineStr">
        <is>
          <t>working_time_rule_set</t>
        </is>
      </c>
      <c r="F158" s="14" t="inlineStr">
        <is>
          <t>Working time rules — all sectors — max overtime hours per week</t>
        </is>
      </c>
      <c r="G158" s="15" t="inlineStr">
        <is>
          <t>10,00</t>
        </is>
      </c>
      <c r="H158" s="15" t="inlineStr">
        <is>
          <t>2026-03-01</t>
        </is>
      </c>
      <c r="I158" s="15" t="inlineStr"/>
      <c r="J158" s="15" t="inlineStr">
        <is>
          <t>working_time_rule_set:1:max_overtime_hours_per_week</t>
        </is>
      </c>
    </row>
    <row r="159">
      <c r="A159" s="14" t="inlineStr">
        <is>
          <t>Basic Conditions of Employment Act 75 of 1997</t>
        </is>
      </c>
      <c r="B159" s="14" t="inlineStr">
        <is>
          <t>ss 9-18 and s9A</t>
        </is>
      </c>
      <c r="C159" s="15" t="inlineStr"/>
      <c r="D159" s="15" t="inlineStr">
        <is>
          <t>REF-2026.03.01-RULES-r4</t>
        </is>
      </c>
      <c r="E159" s="15" t="inlineStr">
        <is>
          <t>working_time_rule_set</t>
        </is>
      </c>
      <c r="F159" s="14" t="inlineStr">
        <is>
          <t>Working time rules — all sectors — meal interval after hours</t>
        </is>
      </c>
      <c r="G159" s="15" t="inlineStr">
        <is>
          <t>5,00</t>
        </is>
      </c>
      <c r="H159" s="15" t="inlineStr">
        <is>
          <t>2026-03-01</t>
        </is>
      </c>
      <c r="I159" s="15" t="inlineStr"/>
      <c r="J159" s="15" t="inlineStr">
        <is>
          <t>working_time_rule_set:1:meal_interval_after_hours</t>
        </is>
      </c>
    </row>
    <row r="160">
      <c r="A160" s="14" t="inlineStr">
        <is>
          <t>Basic Conditions of Employment Act 75 of 1997</t>
        </is>
      </c>
      <c r="B160" s="14" t="inlineStr">
        <is>
          <t>ss 9-18 and s9A</t>
        </is>
      </c>
      <c r="C160" s="15" t="inlineStr"/>
      <c r="D160" s="15" t="inlineStr">
        <is>
          <t>REF-2026.03.01-RULES-r4</t>
        </is>
      </c>
      <c r="E160" s="15" t="inlineStr">
        <is>
          <t>working_time_rule_set</t>
        </is>
      </c>
      <c r="F160" s="14" t="inlineStr">
        <is>
          <t>Working time rules — all sectors — meal interval minutes</t>
        </is>
      </c>
      <c r="G160" s="15" t="inlineStr">
        <is>
          <t>60</t>
        </is>
      </c>
      <c r="H160" s="15" t="inlineStr">
        <is>
          <t>2026-03-01</t>
        </is>
      </c>
      <c r="I160" s="15" t="inlineStr"/>
      <c r="J160" s="15" t="inlineStr">
        <is>
          <t>working_time_rule_set:1:meal_interval_minutes</t>
        </is>
      </c>
    </row>
    <row r="161">
      <c r="A161" s="14" t="inlineStr">
        <is>
          <t>Basic Conditions of Employment Act 75 of 1997</t>
        </is>
      </c>
      <c r="B161" s="14" t="inlineStr">
        <is>
          <t>ss 9-18 and s9A</t>
        </is>
      </c>
      <c r="C161" s="15" t="inlineStr"/>
      <c r="D161" s="15" t="inlineStr">
        <is>
          <t>REF-2026.03.01-RULES-r4</t>
        </is>
      </c>
      <c r="E161" s="15" t="inlineStr">
        <is>
          <t>working_time_rule_set</t>
        </is>
      </c>
      <c r="F161" s="14" t="inlineStr">
        <is>
          <t>Working time rules — all sectors — min paid hours per day</t>
        </is>
      </c>
      <c r="G161" s="15" t="inlineStr">
        <is>
          <t>4,00</t>
        </is>
      </c>
      <c r="H161" s="15" t="inlineStr">
        <is>
          <t>2026-03-01</t>
        </is>
      </c>
      <c r="I161" s="15" t="inlineStr"/>
      <c r="J161" s="15" t="inlineStr">
        <is>
          <t>working_time_rule_set:1:min_paid_hours_per_day</t>
        </is>
      </c>
    </row>
    <row r="162">
      <c r="A162" s="14" t="inlineStr">
        <is>
          <t>Basic Conditions of Employment Act 75 of 1997</t>
        </is>
      </c>
      <c r="B162" s="14" t="inlineStr">
        <is>
          <t>ss 9-18 and s9A</t>
        </is>
      </c>
      <c r="C162" s="15" t="inlineStr"/>
      <c r="D162" s="15" t="inlineStr">
        <is>
          <t>REF-2026.03.01-RULES-r4</t>
        </is>
      </c>
      <c r="E162" s="15" t="inlineStr">
        <is>
          <t>working_time_rule_set</t>
        </is>
      </c>
      <c r="F162" s="14" t="inlineStr">
        <is>
          <t>Working time rules — all sectors — night allowance type</t>
        </is>
      </c>
      <c r="G162" s="15" t="inlineStr">
        <is>
          <t>The instrument states none — the parties agree it</t>
        </is>
      </c>
      <c r="H162" s="15" t="inlineStr">
        <is>
          <t>2026-03-01</t>
        </is>
      </c>
      <c r="I162" s="15" t="inlineStr"/>
      <c r="J162" s="15" t="inlineStr">
        <is>
          <t>working_time_rule_set:1:night_allowance_type</t>
        </is>
      </c>
    </row>
    <row r="163">
      <c r="A163" s="14" t="inlineStr">
        <is>
          <t>Basic Conditions of Employment Act 75 of 1997</t>
        </is>
      </c>
      <c r="B163" s="14" t="inlineStr">
        <is>
          <t>ss 9-18 and s9A</t>
        </is>
      </c>
      <c r="C163" s="15" t="inlineStr"/>
      <c r="D163" s="15" t="inlineStr">
        <is>
          <t>REF-2026.03.01-RULES-r4</t>
        </is>
      </c>
      <c r="E163" s="15" t="inlineStr">
        <is>
          <t>working_time_rule_set</t>
        </is>
      </c>
      <c r="F163" s="14" t="inlineStr">
        <is>
          <t>Working time rules — all sectors — night work end time</t>
        </is>
      </c>
      <c r="G163" s="15" t="inlineStr">
        <is>
          <t>06:00:00</t>
        </is>
      </c>
      <c r="H163" s="15" t="inlineStr">
        <is>
          <t>2026-03-01</t>
        </is>
      </c>
      <c r="I163" s="15" t="inlineStr"/>
      <c r="J163" s="15" t="inlineStr">
        <is>
          <t>working_time_rule_set:1:night_work_end_time</t>
        </is>
      </c>
    </row>
    <row r="164">
      <c r="A164" s="14" t="inlineStr">
        <is>
          <t>Basic Conditions of Employment Act 75 of 1997</t>
        </is>
      </c>
      <c r="B164" s="14" t="inlineStr">
        <is>
          <t>ss 9-18 and s9A</t>
        </is>
      </c>
      <c r="C164" s="15" t="inlineStr"/>
      <c r="D164" s="15" t="inlineStr">
        <is>
          <t>REF-2026.03.01-RULES-r4</t>
        </is>
      </c>
      <c r="E164" s="15" t="inlineStr">
        <is>
          <t>working_time_rule_set</t>
        </is>
      </c>
      <c r="F164" s="14" t="inlineStr">
        <is>
          <t>Working time rules — all sectors — night work start time</t>
        </is>
      </c>
      <c r="G164" s="15" t="inlineStr">
        <is>
          <t>18:00:00</t>
        </is>
      </c>
      <c r="H164" s="15" t="inlineStr">
        <is>
          <t>2026-03-01</t>
        </is>
      </c>
      <c r="I164" s="15" t="inlineStr"/>
      <c r="J164" s="15" t="inlineStr">
        <is>
          <t>working_time_rule_set:1:night_work_start_time</t>
        </is>
      </c>
    </row>
    <row r="165">
      <c r="A165" s="14" t="inlineStr">
        <is>
          <t>Basic Conditions of Employment Act 75 of 1997</t>
        </is>
      </c>
      <c r="B165" s="14" t="inlineStr">
        <is>
          <t>ss 9-18 and s9A</t>
        </is>
      </c>
      <c r="C165" s="15" t="inlineStr"/>
      <c r="D165" s="15" t="inlineStr">
        <is>
          <t>REF-2026.03.01-RULES-r4</t>
        </is>
      </c>
      <c r="E165" s="15" t="inlineStr">
        <is>
          <t>working_time_rule_set</t>
        </is>
      </c>
      <c r="F165" s="14" t="inlineStr">
        <is>
          <t>Working time rules — all sectors — ordinary hours per day 5day</t>
        </is>
      </c>
      <c r="G165" s="15" t="inlineStr">
        <is>
          <t>9,00</t>
        </is>
      </c>
      <c r="H165" s="15" t="inlineStr">
        <is>
          <t>2026-03-01</t>
        </is>
      </c>
      <c r="I165" s="15" t="inlineStr"/>
      <c r="J165" s="15" t="inlineStr">
        <is>
          <t>working_time_rule_set:1:ordinary_hours_per_day_5day</t>
        </is>
      </c>
    </row>
    <row r="166">
      <c r="A166" s="14" t="inlineStr">
        <is>
          <t>Basic Conditions of Employment Act 75 of 1997</t>
        </is>
      </c>
      <c r="B166" s="14" t="inlineStr">
        <is>
          <t>ss 9-18 and s9A</t>
        </is>
      </c>
      <c r="C166" s="15" t="inlineStr"/>
      <c r="D166" s="15" t="inlineStr">
        <is>
          <t>REF-2026.03.01-RULES-r4</t>
        </is>
      </c>
      <c r="E166" s="15" t="inlineStr">
        <is>
          <t>working_time_rule_set</t>
        </is>
      </c>
      <c r="F166" s="14" t="inlineStr">
        <is>
          <t>Working time rules — all sectors — ordinary hours per day 6day</t>
        </is>
      </c>
      <c r="G166" s="15" t="inlineStr">
        <is>
          <t>8,00</t>
        </is>
      </c>
      <c r="H166" s="15" t="inlineStr">
        <is>
          <t>2026-03-01</t>
        </is>
      </c>
      <c r="I166" s="15" t="inlineStr"/>
      <c r="J166" s="15" t="inlineStr">
        <is>
          <t>working_time_rule_set:1:ordinary_hours_per_day_6day</t>
        </is>
      </c>
    </row>
    <row r="167">
      <c r="A167" s="14" t="inlineStr">
        <is>
          <t>Basic Conditions of Employment Act 75 of 1997</t>
        </is>
      </c>
      <c r="B167" s="14" t="inlineStr">
        <is>
          <t>ss 9-18 and s9A</t>
        </is>
      </c>
      <c r="C167" s="15" t="inlineStr"/>
      <c r="D167" s="15" t="inlineStr">
        <is>
          <t>REF-2026.03.01-RULES-r4</t>
        </is>
      </c>
      <c r="E167" s="15" t="inlineStr">
        <is>
          <t>working_time_rule_set</t>
        </is>
      </c>
      <c r="F167" s="14" t="inlineStr">
        <is>
          <t>Working time rules — all sectors — ordinary hours per week</t>
        </is>
      </c>
      <c r="G167" s="15" t="inlineStr">
        <is>
          <t>45,00</t>
        </is>
      </c>
      <c r="H167" s="15" t="inlineStr">
        <is>
          <t>2026-03-01</t>
        </is>
      </c>
      <c r="I167" s="15" t="inlineStr"/>
      <c r="J167" s="15" t="inlineStr">
        <is>
          <t>working_time_rule_set:1:ordinary_hours_per_week</t>
        </is>
      </c>
    </row>
    <row r="168">
      <c r="A168" s="14" t="inlineStr">
        <is>
          <t>Basic Conditions of Employment Act 75 of 1997</t>
        </is>
      </c>
      <c r="B168" s="14" t="inlineStr">
        <is>
          <t>ss 9-18 and s9A</t>
        </is>
      </c>
      <c r="C168" s="15" t="inlineStr"/>
      <c r="D168" s="15" t="inlineStr">
        <is>
          <t>REF-2026.03.01-RULES-r4</t>
        </is>
      </c>
      <c r="E168" s="15" t="inlineStr">
        <is>
          <t>working_time_rule_set</t>
        </is>
      </c>
      <c r="F168" s="14" t="inlineStr">
        <is>
          <t>Working time rules — all sectors — overtime multiplier</t>
        </is>
      </c>
      <c r="G168" s="15" t="inlineStr">
        <is>
          <t>1,500</t>
        </is>
      </c>
      <c r="H168" s="15" t="inlineStr">
        <is>
          <t>2026-03-01</t>
        </is>
      </c>
      <c r="I168" s="15" t="inlineStr"/>
      <c r="J168" s="15" t="inlineStr">
        <is>
          <t>working_time_rule_set:1:overtime_multiplier</t>
        </is>
      </c>
    </row>
    <row r="169">
      <c r="A169" s="14" t="inlineStr">
        <is>
          <t>Basic Conditions of Employment Act 75 of 1997</t>
        </is>
      </c>
      <c r="B169" s="14" t="inlineStr">
        <is>
          <t>ss 9-18 and s9A</t>
        </is>
      </c>
      <c r="C169" s="15" t="inlineStr"/>
      <c r="D169" s="15" t="inlineStr">
        <is>
          <t>REF-2026.03.01-RULES-r4</t>
        </is>
      </c>
      <c r="E169" s="15" t="inlineStr">
        <is>
          <t>working_time_rule_set</t>
        </is>
      </c>
      <c r="F169" s="14" t="inlineStr">
        <is>
          <t>Working time rules — all sectors — public holiday not worked paid</t>
        </is>
      </c>
      <c r="G169" s="15" t="inlineStr">
        <is>
          <t>Yes</t>
        </is>
      </c>
      <c r="H169" s="15" t="inlineStr">
        <is>
          <t>2026-03-01</t>
        </is>
      </c>
      <c r="I169" s="15" t="inlineStr"/>
      <c r="J169" s="15" t="inlineStr">
        <is>
          <t>working_time_rule_set:1:public_holiday_not_worked_paid</t>
        </is>
      </c>
    </row>
    <row r="170">
      <c r="A170" s="14" t="inlineStr">
        <is>
          <t>Basic Conditions of Employment Act 75 of 1997</t>
        </is>
      </c>
      <c r="B170" s="14" t="inlineStr">
        <is>
          <t>ss 9-18 and s9A</t>
        </is>
      </c>
      <c r="C170" s="15" t="inlineStr"/>
      <c r="D170" s="15" t="inlineStr">
        <is>
          <t>REF-2026.03.01-RULES-r4</t>
        </is>
      </c>
      <c r="E170" s="15" t="inlineStr">
        <is>
          <t>working_time_rule_set</t>
        </is>
      </c>
      <c r="F170" s="14" t="inlineStr">
        <is>
          <t>Working time rules — all sectors — public holiday worked multiplier</t>
        </is>
      </c>
      <c r="G170" s="15" t="inlineStr">
        <is>
          <t>2,000</t>
        </is>
      </c>
      <c r="H170" s="15" t="inlineStr">
        <is>
          <t>2026-03-01</t>
        </is>
      </c>
      <c r="I170" s="15" t="inlineStr"/>
      <c r="J170" s="15" t="inlineStr">
        <is>
          <t>working_time_rule_set:1:public_holiday_worked_multiplier</t>
        </is>
      </c>
    </row>
    <row r="171">
      <c r="A171" s="14" t="inlineStr">
        <is>
          <t>Basic Conditions of Employment Act 75 of 1997</t>
        </is>
      </c>
      <c r="B171" s="14" t="inlineStr">
        <is>
          <t>ss 9-18 and s9A</t>
        </is>
      </c>
      <c r="C171" s="15" t="inlineStr"/>
      <c r="D171" s="15" t="inlineStr">
        <is>
          <t>REF-2026.03.01-RULES-r4</t>
        </is>
      </c>
      <c r="E171" s="15" t="inlineStr">
        <is>
          <t>working_time_rule_set</t>
        </is>
      </c>
      <c r="F171" s="14" t="inlineStr">
        <is>
          <t>Working time rules — all sectors — standby allowance per shift</t>
        </is>
      </c>
      <c r="G171" s="15" t="inlineStr">
        <is>
          <t>R 0,00</t>
        </is>
      </c>
      <c r="H171" s="15" t="inlineStr">
        <is>
          <t>2026-03-01</t>
        </is>
      </c>
      <c r="I171" s="15" t="inlineStr"/>
      <c r="J171" s="15" t="inlineStr">
        <is>
          <t>working_time_rule_set:1:standby_allowance_per_shift</t>
        </is>
      </c>
    </row>
    <row r="172">
      <c r="A172" s="14" t="inlineStr">
        <is>
          <t>Basic Conditions of Employment Act 75 of 1997</t>
        </is>
      </c>
      <c r="B172" s="14" t="inlineStr">
        <is>
          <t>ss 9-18 and s9A</t>
        </is>
      </c>
      <c r="C172" s="15" t="inlineStr"/>
      <c r="D172" s="15" t="inlineStr">
        <is>
          <t>REF-2026.03.01-RULES-r4</t>
        </is>
      </c>
      <c r="E172" s="15" t="inlineStr">
        <is>
          <t>working_time_rule_set</t>
        </is>
      </c>
      <c r="F172" s="14" t="inlineStr">
        <is>
          <t>Working time rules — all sectors — standby hours before overtime</t>
        </is>
      </c>
      <c r="G172" s="15" t="inlineStr">
        <is>
          <t>0,00</t>
        </is>
      </c>
      <c r="H172" s="15" t="inlineStr">
        <is>
          <t>2026-03-01</t>
        </is>
      </c>
      <c r="I172" s="15" t="inlineStr"/>
      <c r="J172" s="15" t="inlineStr">
        <is>
          <t>working_time_rule_set:1:standby_hours_before_overtime</t>
        </is>
      </c>
    </row>
    <row r="173">
      <c r="A173" s="14" t="inlineStr">
        <is>
          <t>Basic Conditions of Employment Act 75 of 1997</t>
        </is>
      </c>
      <c r="B173" s="14" t="inlineStr">
        <is>
          <t>ss 9-18 and s9A</t>
        </is>
      </c>
      <c r="C173" s="15" t="inlineStr"/>
      <c r="D173" s="15" t="inlineStr">
        <is>
          <t>REF-2026.03.01-RULES-r4</t>
        </is>
      </c>
      <c r="E173" s="15" t="inlineStr">
        <is>
          <t>working_time_rule_set</t>
        </is>
      </c>
      <c r="F173" s="14" t="inlineStr">
        <is>
          <t>Working time rules — all sectors — standby window end</t>
        </is>
      </c>
      <c r="G173" s="15" t="inlineStr">
        <is>
          <t>00:00:00</t>
        </is>
      </c>
      <c r="H173" s="15" t="inlineStr">
        <is>
          <t>2026-03-01</t>
        </is>
      </c>
      <c r="I173" s="15" t="inlineStr"/>
      <c r="J173" s="15" t="inlineStr">
        <is>
          <t>working_time_rule_set:1:standby_window_end</t>
        </is>
      </c>
    </row>
    <row r="174">
      <c r="A174" s="14" t="inlineStr">
        <is>
          <t>Basic Conditions of Employment Act 75 of 1997</t>
        </is>
      </c>
      <c r="B174" s="14" t="inlineStr">
        <is>
          <t>ss 9-18 and s9A</t>
        </is>
      </c>
      <c r="C174" s="15" t="inlineStr"/>
      <c r="D174" s="15" t="inlineStr">
        <is>
          <t>REF-2026.03.01-RULES-r4</t>
        </is>
      </c>
      <c r="E174" s="15" t="inlineStr">
        <is>
          <t>working_time_rule_set</t>
        </is>
      </c>
      <c r="F174" s="14" t="inlineStr">
        <is>
          <t>Working time rules — all sectors — standby window start</t>
        </is>
      </c>
      <c r="G174" s="15" t="inlineStr">
        <is>
          <t>00:00:00</t>
        </is>
      </c>
      <c r="H174" s="15" t="inlineStr">
        <is>
          <t>2026-03-01</t>
        </is>
      </c>
      <c r="I174" s="15" t="inlineStr"/>
      <c r="J174" s="15" t="inlineStr">
        <is>
          <t>working_time_rule_set:1:standby_window_start</t>
        </is>
      </c>
    </row>
    <row r="175">
      <c r="A175" s="14" t="inlineStr">
        <is>
          <t>Basic Conditions of Employment Act 75 of 1997</t>
        </is>
      </c>
      <c r="B175" s="14" t="inlineStr">
        <is>
          <t>ss 9-18 and s9A</t>
        </is>
      </c>
      <c r="C175" s="15" t="inlineStr"/>
      <c r="D175" s="15" t="inlineStr">
        <is>
          <t>REF-2026.03.01-RULES-r4</t>
        </is>
      </c>
      <c r="E175" s="15" t="inlineStr">
        <is>
          <t>working_time_rule_set</t>
        </is>
      </c>
      <c r="F175" s="14" t="inlineStr">
        <is>
          <t>Working time rules — all sectors — sunday multiplier non ordinary</t>
        </is>
      </c>
      <c r="G175" s="15" t="inlineStr">
        <is>
          <t>2,000</t>
        </is>
      </c>
      <c r="H175" s="15" t="inlineStr">
        <is>
          <t>2026-03-01</t>
        </is>
      </c>
      <c r="I175" s="15" t="inlineStr"/>
      <c r="J175" s="15" t="inlineStr">
        <is>
          <t>working_time_rule_set:1:sunday_multiplier_non_ordinary</t>
        </is>
      </c>
    </row>
    <row r="176">
      <c r="A176" s="14" t="inlineStr">
        <is>
          <t>Basic Conditions of Employment Act 75 of 1997</t>
        </is>
      </c>
      <c r="B176" s="14" t="inlineStr">
        <is>
          <t>ss 9-18 and s9A</t>
        </is>
      </c>
      <c r="C176" s="15" t="inlineStr"/>
      <c r="D176" s="15" t="inlineStr">
        <is>
          <t>REF-2026.03.01-RULES-r4</t>
        </is>
      </c>
      <c r="E176" s="15" t="inlineStr">
        <is>
          <t>working_time_rule_set</t>
        </is>
      </c>
      <c r="F176" s="14" t="inlineStr">
        <is>
          <t>Working time rules — all sectors — sunday multiplier ordinary</t>
        </is>
      </c>
      <c r="G176" s="15" t="inlineStr">
        <is>
          <t>1,500</t>
        </is>
      </c>
      <c r="H176" s="15" t="inlineStr">
        <is>
          <t>2026-03-01</t>
        </is>
      </c>
      <c r="I176" s="15" t="inlineStr"/>
      <c r="J176" s="15" t="inlineStr">
        <is>
          <t>working_time_rule_set:1:sunday_multiplier_ordinary</t>
        </is>
      </c>
    </row>
    <row r="177">
      <c r="A177" s="14" t="inlineStr">
        <is>
          <t>Basic Conditions of Employment Act 75 of 1997</t>
        </is>
      </c>
      <c r="B177" s="14" t="inlineStr">
        <is>
          <t>ss 9-18 and s9A</t>
        </is>
      </c>
      <c r="C177" s="15" t="inlineStr"/>
      <c r="D177" s="15" t="inlineStr">
        <is>
          <t>REF-2026.03.01-RULES-r4</t>
        </is>
      </c>
      <c r="E177" s="15" t="inlineStr">
        <is>
          <t>working_time_rule_set</t>
        </is>
      </c>
      <c r="F177" s="14" t="inlineStr">
        <is>
          <t>Working time rules — all sectors — weekly rest hours</t>
        </is>
      </c>
      <c r="G177" s="15" t="inlineStr">
        <is>
          <t>36</t>
        </is>
      </c>
      <c r="H177" s="15" t="inlineStr">
        <is>
          <t>2026-03-01</t>
        </is>
      </c>
      <c r="I177" s="15" t="inlineStr"/>
      <c r="J177" s="15" t="inlineStr">
        <is>
          <t>working_time_rule_set:1:weekly_rest_hours</t>
        </is>
      </c>
    </row>
    <row r="178">
      <c r="A178" s="10" t="inlineStr">
        <is>
          <t>Compensation Fund maximum amount of earnings, 2026/2027 assessment year (1 March 2026 - 28 February 2027)</t>
        </is>
      </c>
      <c r="B178" s="10" t="inlineStr"/>
      <c r="C178" s="11" t="inlineStr"/>
      <c r="D178" s="11" t="inlineStr">
        <is>
          <t>REF-2026.03.01-r2</t>
        </is>
      </c>
      <c r="E178" s="11" t="inlineStr">
        <is>
          <t>statutory_parameter</t>
        </is>
      </c>
      <c r="F178" s="10" t="inlineStr">
        <is>
          <t>Statutory parameter COIDA_ANNUAL_CEILING (all sectors) — unit</t>
        </is>
      </c>
      <c r="G178" s="11" t="inlineStr">
        <is>
          <t>Rand</t>
        </is>
      </c>
      <c r="H178" s="11" t="inlineStr">
        <is>
          <t>2026-03-01</t>
        </is>
      </c>
      <c r="I178" s="11" t="inlineStr"/>
      <c r="J178" s="11" t="inlineStr">
        <is>
          <t>statutory_parameter:6:unit</t>
        </is>
      </c>
      <c r="K178" s="13" t="n"/>
      <c r="L178" s="13" t="n"/>
      <c r="M178" s="13" t="n"/>
      <c r="N178" s="13" t="n"/>
    </row>
    <row r="179">
      <c r="A179" s="14" t="inlineStr">
        <is>
          <t>Compensation Fund maximum amount of earnings, 2026/2027 assessment year (1 March 2026 - 28 February 2027)</t>
        </is>
      </c>
      <c r="B179" s="14" t="inlineStr"/>
      <c r="C179" s="15" t="inlineStr"/>
      <c r="D179" s="15" t="inlineStr">
        <is>
          <t>REF-2026.03.01-r2</t>
        </is>
      </c>
      <c r="E179" s="15" t="inlineStr">
        <is>
          <t>statutory_parameter</t>
        </is>
      </c>
      <c r="F179" s="14" t="inlineStr">
        <is>
          <t>Statutory parameter COIDA_ANNUAL_CEILING (all sectors) — value</t>
        </is>
      </c>
      <c r="G179" s="15" t="inlineStr">
        <is>
          <t>R 668 000,00</t>
        </is>
      </c>
      <c r="H179" s="15" t="inlineStr">
        <is>
          <t>2026-03-01</t>
        </is>
      </c>
      <c r="I179" s="15" t="inlineStr"/>
      <c r="J179" s="15" t="inlineStr">
        <is>
          <t>statutory_parameter:6:value_numeric</t>
        </is>
      </c>
    </row>
    <row r="180">
      <c r="A180" s="10" t="inlineStr">
        <is>
          <t>Determination under s6(2) of the Unemployment Insurance Contributions Act 4 of 2002, Government Gazette 44641 of 28 May 2021, effective 1 June 2021</t>
        </is>
      </c>
      <c r="B180" s="10" t="inlineStr"/>
      <c r="C180" s="11" t="inlineStr"/>
      <c r="D180" s="11" t="inlineStr">
        <is>
          <t>REF-2026.03.01-r2</t>
        </is>
      </c>
      <c r="E180" s="11" t="inlineStr">
        <is>
          <t>statutory_parameter</t>
        </is>
      </c>
      <c r="F180" s="10" t="inlineStr">
        <is>
          <t>Statutory parameter UIF_MONTHLY_CEILING (all sectors) — unit</t>
        </is>
      </c>
      <c r="G180" s="11" t="inlineStr">
        <is>
          <t>Rand</t>
        </is>
      </c>
      <c r="H180" s="11" t="inlineStr">
        <is>
          <t>2021-06-01</t>
        </is>
      </c>
      <c r="I180" s="11" t="inlineStr"/>
      <c r="J180" s="11" t="inlineStr">
        <is>
          <t>statutory_parameter:3:unit</t>
        </is>
      </c>
      <c r="K180" s="13" t="n"/>
      <c r="L180" s="13" t="n"/>
      <c r="M180" s="13" t="n"/>
      <c r="N180" s="13" t="n"/>
    </row>
    <row r="181">
      <c r="A181" s="14" t="inlineStr">
        <is>
          <t>Determination under s6(2) of the Unemployment Insurance Contributions Act 4 of 2002, Government Gazette 44641 of 28 May 2021, effective 1 June 2021</t>
        </is>
      </c>
      <c r="B181" s="14" t="inlineStr"/>
      <c r="C181" s="15" t="inlineStr"/>
      <c r="D181" s="15" t="inlineStr">
        <is>
          <t>REF-2026.03.01-r2</t>
        </is>
      </c>
      <c r="E181" s="15" t="inlineStr">
        <is>
          <t>statutory_parameter</t>
        </is>
      </c>
      <c r="F181" s="14" t="inlineStr">
        <is>
          <t>Statutory parameter UIF_MONTHLY_CEILING (all sectors) — value</t>
        </is>
      </c>
      <c r="G181" s="15" t="inlineStr">
        <is>
          <t>R 17 712,00</t>
        </is>
      </c>
      <c r="H181" s="15" t="inlineStr">
        <is>
          <t>2021-06-01</t>
        </is>
      </c>
      <c r="I181" s="15" t="inlineStr"/>
      <c r="J181" s="15" t="inlineStr">
        <is>
          <t>statutory_parameter:3:value_numeric</t>
        </is>
      </c>
    </row>
    <row r="182">
      <c r="A182" s="10" t="inlineStr">
        <is>
          <t>GN 5970, GG 52232, March 2025 (Basic Conditions of Employment Act 75 of 1997, s6(3))</t>
        </is>
      </c>
      <c r="B182" s="10" t="inlineStr"/>
      <c r="C182" s="11" t="inlineStr"/>
      <c r="D182" s="11" t="inlineStr">
        <is>
          <t>REF-2026.03.01-r2</t>
        </is>
      </c>
      <c r="E182" s="11" t="inlineStr">
        <is>
          <t>statutory_parameter</t>
        </is>
      </c>
      <c r="F182" s="10" t="inlineStr">
        <is>
          <t>Statutory parameter BCEA_EARNINGS_THRESHOLD (all sectors) — unit</t>
        </is>
      </c>
      <c r="G182" s="11" t="inlineStr">
        <is>
          <t>Rand</t>
        </is>
      </c>
      <c r="H182" s="11" t="inlineStr">
        <is>
          <t>2025-04-01</t>
        </is>
      </c>
      <c r="I182" s="11" t="inlineStr">
        <is>
          <t>2026-05-01</t>
        </is>
      </c>
      <c r="J182" s="11" t="inlineStr">
        <is>
          <t>statutory_parameter:7:unit</t>
        </is>
      </c>
      <c r="K182" s="13" t="n"/>
      <c r="L182" s="13" t="n"/>
      <c r="M182" s="13" t="n"/>
      <c r="N182" s="13" t="n"/>
    </row>
    <row r="183">
      <c r="A183" s="14" t="inlineStr">
        <is>
          <t>GN 5970, GG 52232, March 2025 (Basic Conditions of Employment Act 75 of 1997, s6(3))</t>
        </is>
      </c>
      <c r="B183" s="14" t="inlineStr"/>
      <c r="C183" s="15" t="inlineStr"/>
      <c r="D183" s="15" t="inlineStr">
        <is>
          <t>REF-2026.03.01-r2</t>
        </is>
      </c>
      <c r="E183" s="15" t="inlineStr">
        <is>
          <t>statutory_parameter</t>
        </is>
      </c>
      <c r="F183" s="14" t="inlineStr">
        <is>
          <t>Statutory parameter BCEA_EARNINGS_THRESHOLD (all sectors) — value</t>
        </is>
      </c>
      <c r="G183" s="15" t="inlineStr">
        <is>
          <t>R 261 748,45</t>
        </is>
      </c>
      <c r="H183" s="15" t="inlineStr">
        <is>
          <t>2025-04-01</t>
        </is>
      </c>
      <c r="I183" s="15" t="inlineStr">
        <is>
          <t>2026-05-01</t>
        </is>
      </c>
      <c r="J183" s="15" t="inlineStr">
        <is>
          <t>statutory_parameter:7:value_numeric</t>
        </is>
      </c>
    </row>
    <row r="184">
      <c r="A184" s="10" t="inlineStr">
        <is>
          <t>GN 7384, GG 54544, 17 April 2026 (Basic Conditions of Employment Act 75 of 1997, s6(3))</t>
        </is>
      </c>
      <c r="B184" s="10" t="inlineStr"/>
      <c r="C184" s="11" t="inlineStr"/>
      <c r="D184" s="11" t="inlineStr">
        <is>
          <t>REF-2026.03.01-r2</t>
        </is>
      </c>
      <c r="E184" s="11" t="inlineStr">
        <is>
          <t>statutory_parameter</t>
        </is>
      </c>
      <c r="F184" s="10" t="inlineStr">
        <is>
          <t>Statutory parameter BCEA_EARNINGS_THRESHOLD (all sectors) — unit</t>
        </is>
      </c>
      <c r="G184" s="11" t="inlineStr">
        <is>
          <t>Rand</t>
        </is>
      </c>
      <c r="H184" s="11" t="inlineStr">
        <is>
          <t>2026-05-01</t>
        </is>
      </c>
      <c r="I184" s="11" t="inlineStr"/>
      <c r="J184" s="11" t="inlineStr">
        <is>
          <t>statutory_parameter:8:unit</t>
        </is>
      </c>
      <c r="K184" s="13" t="n"/>
      <c r="L184" s="13" t="n"/>
      <c r="M184" s="13" t="n"/>
      <c r="N184" s="13" t="n"/>
    </row>
    <row r="185">
      <c r="A185" s="14" t="inlineStr">
        <is>
          <t>GN 7384, GG 54544, 17 April 2026 (Basic Conditions of Employment Act 75 of 1997, s6(3))</t>
        </is>
      </c>
      <c r="B185" s="14" t="inlineStr"/>
      <c r="C185" s="15" t="inlineStr"/>
      <c r="D185" s="15" t="inlineStr">
        <is>
          <t>REF-2026.03.01-r2</t>
        </is>
      </c>
      <c r="E185" s="15" t="inlineStr">
        <is>
          <t>statutory_parameter</t>
        </is>
      </c>
      <c r="F185" s="14" t="inlineStr">
        <is>
          <t>Statutory parameter BCEA_EARNINGS_THRESHOLD (all sectors) — value</t>
        </is>
      </c>
      <c r="G185" s="15" t="inlineStr">
        <is>
          <t>R 269 600,90</t>
        </is>
      </c>
      <c r="H185" s="15" t="inlineStr">
        <is>
          <t>2026-05-01</t>
        </is>
      </c>
      <c r="I185" s="15" t="inlineStr"/>
      <c r="J185" s="15" t="inlineStr">
        <is>
          <t>statutory_parameter:8:value_numeric</t>
        </is>
      </c>
    </row>
    <row r="186">
      <c r="A186" s="10" t="inlineStr">
        <is>
          <t>GN R.7083, GG 54075, 3 February 2026 (National Minimum Wage Act 9 of 2018)</t>
        </is>
      </c>
      <c r="B186" s="10" t="inlineStr"/>
      <c r="C186" s="16" t="inlineStr">
        <is>
          <t>https://www.gov.za/sites/default/files/gcis_document/202602/54075rg11941gon7083.pdf</t>
        </is>
      </c>
      <c r="D186" s="11" t="inlineStr">
        <is>
          <t>REF-2026.03.01-r2</t>
        </is>
      </c>
      <c r="E186" s="11" t="inlineStr">
        <is>
          <t>minimum_wage_rate</t>
        </is>
      </c>
      <c r="F186" s="10" t="inlineStr">
        <is>
          <t>Minimum wage — all sectors, all hours — hourly rate</t>
        </is>
      </c>
      <c r="G186" s="11" t="inlineStr">
        <is>
          <t>R 30,23</t>
        </is>
      </c>
      <c r="H186" s="11" t="inlineStr">
        <is>
          <t>2026-03-01</t>
        </is>
      </c>
      <c r="I186" s="11" t="inlineStr"/>
      <c r="J186" s="11" t="inlineStr">
        <is>
          <t>minimum_wage_rate:1:hourly_rate</t>
        </is>
      </c>
      <c r="K186" s="13" t="n"/>
      <c r="L186" s="13" t="n"/>
      <c r="M186" s="13" t="n"/>
      <c r="N186" s="13" t="n"/>
    </row>
    <row r="187">
      <c r="A187" s="14" t="inlineStr">
        <is>
          <t>GN R.7083, GG 54075, 3 February 2026 (National Minimum Wage Act 9 of 2018)</t>
        </is>
      </c>
      <c r="B187" s="14" t="inlineStr"/>
      <c r="C187" s="17" t="inlineStr">
        <is>
          <t>https://www.gov.za/sites/default/files/gcis_document/202602/54075rg11941gon7083.pdf</t>
        </is>
      </c>
      <c r="D187" s="15" t="inlineStr">
        <is>
          <t>REF-2026.03.01-r2</t>
        </is>
      </c>
      <c r="E187" s="15" t="inlineStr">
        <is>
          <t>minimum_wage_rate</t>
        </is>
      </c>
      <c r="F187" s="14" t="inlineStr">
        <is>
          <t>Minimum wage — DOMESTIC, all hours — hourly rate</t>
        </is>
      </c>
      <c r="G187" s="15" t="inlineStr">
        <is>
          <t>R 30,23</t>
        </is>
      </c>
      <c r="H187" s="15" t="inlineStr">
        <is>
          <t>2026-03-01</t>
        </is>
      </c>
      <c r="I187" s="15" t="inlineStr"/>
      <c r="J187" s="15" t="inlineStr">
        <is>
          <t>minimum_wage_rate:2:hourly_rate</t>
        </is>
      </c>
    </row>
    <row r="188">
      <c r="A188" s="14" t="inlineStr">
        <is>
          <t>GN R.7083, GG 54075, 3 February 2026 (National Minimum Wage Act 9 of 2018)</t>
        </is>
      </c>
      <c r="B188" s="14" t="inlineStr"/>
      <c r="C188" s="17" t="inlineStr">
        <is>
          <t>https://www.gov.za/sites/default/files/gcis_document/202602/54075rg11941gon7083.pdf</t>
        </is>
      </c>
      <c r="D188" s="15" t="inlineStr">
        <is>
          <t>REF-2026.03.01-r2</t>
        </is>
      </c>
      <c r="E188" s="15" t="inlineStr">
        <is>
          <t>minimum_wage_rate</t>
        </is>
      </c>
      <c r="F188" s="14" t="inlineStr">
        <is>
          <t>Minimum wage — CONTRACT_CLEANING / AREA_A, all hours — hourly rate</t>
        </is>
      </c>
      <c r="G188" s="15" t="inlineStr">
        <is>
          <t>R 33,27</t>
        </is>
      </c>
      <c r="H188" s="15" t="inlineStr">
        <is>
          <t>2026-03-01</t>
        </is>
      </c>
      <c r="I188" s="15" t="inlineStr"/>
      <c r="J188" s="15" t="inlineStr">
        <is>
          <t>minimum_wage_rate:3:hourly_rate</t>
        </is>
      </c>
    </row>
    <row r="189">
      <c r="A189" s="14" t="inlineStr">
        <is>
          <t>GN R.7083, GG 54075, 3 February 2026 (National Minimum Wage Act 9 of 2018)</t>
        </is>
      </c>
      <c r="B189" s="14" t="inlineStr"/>
      <c r="C189" s="17" t="inlineStr">
        <is>
          <t>https://www.gov.za/sites/default/files/gcis_document/202602/54075rg11941gon7083.pdf</t>
        </is>
      </c>
      <c r="D189" s="15" t="inlineStr">
        <is>
          <t>REF-2026.03.01-r2</t>
        </is>
      </c>
      <c r="E189" s="15" t="inlineStr">
        <is>
          <t>minimum_wage_rate</t>
        </is>
      </c>
      <c r="F189" s="14" t="inlineStr">
        <is>
          <t>Minimum wage — CONTRACT_CLEANING / AREA_A, all hours — monthly rate (45h)</t>
        </is>
      </c>
      <c r="G189" s="15" t="inlineStr">
        <is>
          <t>R 6 487,15</t>
        </is>
      </c>
      <c r="H189" s="15" t="inlineStr">
        <is>
          <t>2026-03-01</t>
        </is>
      </c>
      <c r="I189" s="15" t="inlineStr"/>
      <c r="J189" s="15" t="inlineStr">
        <is>
          <t>minimum_wage_rate:3:monthly_rate_45h</t>
        </is>
      </c>
    </row>
    <row r="190">
      <c r="A190" s="14" t="inlineStr">
        <is>
          <t>GN R.7083, GG 54075, 3 February 2026 (National Minimum Wage Act 9 of 2018)</t>
        </is>
      </c>
      <c r="B190" s="14" t="inlineStr"/>
      <c r="C190" s="17" t="inlineStr">
        <is>
          <t>https://www.gov.za/sites/default/files/gcis_document/202602/54075rg11941gon7083.pdf</t>
        </is>
      </c>
      <c r="D190" s="15" t="inlineStr">
        <is>
          <t>REF-2026.03.01-r2</t>
        </is>
      </c>
      <c r="E190" s="15" t="inlineStr">
        <is>
          <t>minimum_wage_rate</t>
        </is>
      </c>
      <c r="F190" s="14" t="inlineStr">
        <is>
          <t>Minimum wage — CONTRACT_CLEANING / AREA_A, all hours — weekly rate (45h)</t>
        </is>
      </c>
      <c r="G190" s="15" t="inlineStr">
        <is>
          <t>R 1 497,15</t>
        </is>
      </c>
      <c r="H190" s="15" t="inlineStr">
        <is>
          <t>2026-03-01</t>
        </is>
      </c>
      <c r="I190" s="15" t="inlineStr"/>
      <c r="J190" s="15" t="inlineStr">
        <is>
          <t>minimum_wage_rate:3:weekly_rate_45h</t>
        </is>
      </c>
    </row>
    <row r="191">
      <c r="A191" s="14" t="inlineStr">
        <is>
          <t>GN R.7083, GG 54075, 3 February 2026 (National Minimum Wage Act 9 of 2018)</t>
        </is>
      </c>
      <c r="B191" s="14" t="inlineStr"/>
      <c r="C191" s="17" t="inlineStr">
        <is>
          <t>https://www.gov.za/sites/default/files/gcis_document/202602/54075rg11941gon7083.pdf</t>
        </is>
      </c>
      <c r="D191" s="15" t="inlineStr">
        <is>
          <t>REF-2026.03.01-r2</t>
        </is>
      </c>
      <c r="E191" s="15" t="inlineStr">
        <is>
          <t>minimum_wage_rate</t>
        </is>
      </c>
      <c r="F191" s="14" t="inlineStr">
        <is>
          <t>Minimum wage — CONTRACT_CLEANING / AREA_C, all hours — hourly rate</t>
        </is>
      </c>
      <c r="G191" s="15" t="inlineStr">
        <is>
          <t>R 30,33</t>
        </is>
      </c>
      <c r="H191" s="15" t="inlineStr">
        <is>
          <t>2026-03-01</t>
        </is>
      </c>
      <c r="I191" s="15" t="inlineStr"/>
      <c r="J191" s="15" t="inlineStr">
        <is>
          <t>minimum_wage_rate:4:hourly_rate</t>
        </is>
      </c>
    </row>
    <row r="192">
      <c r="A192" s="14" t="inlineStr">
        <is>
          <t>GN R.7083, GG 54075, 3 February 2026 (National Minimum Wage Act 9 of 2018)</t>
        </is>
      </c>
      <c r="B192" s="14" t="inlineStr"/>
      <c r="C192" s="17" t="inlineStr">
        <is>
          <t>https://www.gov.za/sites/default/files/gcis_document/202602/54075rg11941gon7083.pdf</t>
        </is>
      </c>
      <c r="D192" s="15" t="inlineStr">
        <is>
          <t>REF-2026.03.01-r2</t>
        </is>
      </c>
      <c r="E192" s="15" t="inlineStr">
        <is>
          <t>minimum_wage_rate</t>
        </is>
      </c>
      <c r="F192" s="14" t="inlineStr">
        <is>
          <t>Minimum wage — CONTRACT_CLEANING / AREA_C, all hours — monthly rate (45h)</t>
        </is>
      </c>
      <c r="G192" s="15" t="inlineStr">
        <is>
          <t>R 5 913,90</t>
        </is>
      </c>
      <c r="H192" s="15" t="inlineStr">
        <is>
          <t>2026-03-01</t>
        </is>
      </c>
      <c r="I192" s="15" t="inlineStr"/>
      <c r="J192" s="15" t="inlineStr">
        <is>
          <t>minimum_wage_rate:4:monthly_rate_45h</t>
        </is>
      </c>
    </row>
    <row r="193">
      <c r="A193" s="14" t="inlineStr">
        <is>
          <t>GN R.7083, GG 54075, 3 February 2026 (National Minimum Wage Act 9 of 2018)</t>
        </is>
      </c>
      <c r="B193" s="14" t="inlineStr"/>
      <c r="C193" s="17" t="inlineStr">
        <is>
          <t>https://www.gov.za/sites/default/files/gcis_document/202602/54075rg11941gon7083.pdf</t>
        </is>
      </c>
      <c r="D193" s="15" t="inlineStr">
        <is>
          <t>REF-2026.03.01-r2</t>
        </is>
      </c>
      <c r="E193" s="15" t="inlineStr">
        <is>
          <t>minimum_wage_rate</t>
        </is>
      </c>
      <c r="F193" s="14" t="inlineStr">
        <is>
          <t>Minimum wage — CONTRACT_CLEANING / AREA_C, all hours — weekly rate (45h)</t>
        </is>
      </c>
      <c r="G193" s="15" t="inlineStr">
        <is>
          <t>R 1 364,85</t>
        </is>
      </c>
      <c r="H193" s="15" t="inlineStr">
        <is>
          <t>2026-03-01</t>
        </is>
      </c>
      <c r="I193" s="15" t="inlineStr"/>
      <c r="J193" s="15" t="inlineStr">
        <is>
          <t>minimum_wage_rate:4:weekly_rate_45h</t>
        </is>
      </c>
    </row>
    <row r="194">
      <c r="A194" s="10" t="inlineStr">
        <is>
          <t>Public Holidays Act 36 of 1994</t>
        </is>
      </c>
      <c r="B194" s="10" t="inlineStr">
        <is>
          <t>Schedule 1</t>
        </is>
      </c>
      <c r="C194" s="11" t="inlineStr"/>
      <c r="D194" s="11" t="inlineStr">
        <is>
          <t>REF-2026.03.01-r2</t>
        </is>
      </c>
      <c r="E194" s="11" t="inlineStr">
        <is>
          <t>public_holiday</t>
        </is>
      </c>
      <c r="F194" s="10" t="inlineStr">
        <is>
          <t>Public holiday — Day of Reconciliation, 16 December 2026 — holiday date</t>
        </is>
      </c>
      <c r="G194" s="11" t="inlineStr">
        <is>
          <t>16 December 2026</t>
        </is>
      </c>
      <c r="H194" s="11" t="inlineStr"/>
      <c r="I194" s="11" t="inlineStr"/>
      <c r="J194" s="11" t="inlineStr">
        <is>
          <t>public_holiday:10:holiday_date</t>
        </is>
      </c>
      <c r="K194" s="13" t="n"/>
      <c r="L194" s="13" t="n"/>
      <c r="M194" s="13" t="n"/>
      <c r="N194" s="13" t="n"/>
    </row>
    <row r="195">
      <c r="A195" s="14" t="inlineStr">
        <is>
          <t>Public Holidays Act 36 of 1994</t>
        </is>
      </c>
      <c r="B195" s="14" t="inlineStr">
        <is>
          <t>Schedule 1</t>
        </is>
      </c>
      <c r="C195" s="15" t="inlineStr"/>
      <c r="D195" s="15" t="inlineStr">
        <is>
          <t>REF-2026.03.01-r2</t>
        </is>
      </c>
      <c r="E195" s="15" t="inlineStr">
        <is>
          <t>public_holiday</t>
        </is>
      </c>
      <c r="F195" s="14" t="inlineStr">
        <is>
          <t>Public holiday — Day of Reconciliation, 16 December 2026 — is statutory</t>
        </is>
      </c>
      <c r="G195" s="15" t="inlineStr">
        <is>
          <t>Yes</t>
        </is>
      </c>
      <c r="H195" s="15" t="inlineStr"/>
      <c r="I195" s="15" t="inlineStr"/>
      <c r="J195" s="15" t="inlineStr">
        <is>
          <t>public_holiday:10:is_statutory</t>
        </is>
      </c>
    </row>
    <row r="196">
      <c r="A196" s="14" t="inlineStr">
        <is>
          <t>Public Holidays Act 36 of 1994</t>
        </is>
      </c>
      <c r="B196" s="14" t="inlineStr">
        <is>
          <t>Schedule 1</t>
        </is>
      </c>
      <c r="C196" s="15" t="inlineStr"/>
      <c r="D196" s="15" t="inlineStr">
        <is>
          <t>REF-2026.03.01-r2</t>
        </is>
      </c>
      <c r="E196" s="15" t="inlineStr">
        <is>
          <t>public_holiday</t>
        </is>
      </c>
      <c r="F196" s="14" t="inlineStr">
        <is>
          <t>Public holiday — Day of Reconciliation, 16 December 2026 — name</t>
        </is>
      </c>
      <c r="G196" s="15" t="inlineStr">
        <is>
          <t>Day of Reconciliation</t>
        </is>
      </c>
      <c r="H196" s="15" t="inlineStr"/>
      <c r="I196" s="15" t="inlineStr"/>
      <c r="J196" s="15" t="inlineStr">
        <is>
          <t>public_holiday:10:name</t>
        </is>
      </c>
    </row>
    <row r="197">
      <c r="A197" s="14" t="inlineStr">
        <is>
          <t>Public Holidays Act 36 of 1994</t>
        </is>
      </c>
      <c r="B197" s="14" t="inlineStr">
        <is>
          <t>Schedule 1</t>
        </is>
      </c>
      <c r="C197" s="15" t="inlineStr"/>
      <c r="D197" s="15" t="inlineStr">
        <is>
          <t>REF-2026.03.01-r2</t>
        </is>
      </c>
      <c r="E197" s="15" t="inlineStr">
        <is>
          <t>public_holiday</t>
        </is>
      </c>
      <c r="F197" s="14" t="inlineStr">
        <is>
          <t>Public holiday — Christmas Day, 25 December 2026 — holiday date</t>
        </is>
      </c>
      <c r="G197" s="15" t="inlineStr">
        <is>
          <t>25 December 2026</t>
        </is>
      </c>
      <c r="H197" s="15" t="inlineStr"/>
      <c r="I197" s="15" t="inlineStr"/>
      <c r="J197" s="15" t="inlineStr">
        <is>
          <t>public_holiday:11:holiday_date</t>
        </is>
      </c>
    </row>
    <row r="198">
      <c r="A198" s="14" t="inlineStr">
        <is>
          <t>Public Holidays Act 36 of 1994</t>
        </is>
      </c>
      <c r="B198" s="14" t="inlineStr">
        <is>
          <t>Schedule 1</t>
        </is>
      </c>
      <c r="C198" s="15" t="inlineStr"/>
      <c r="D198" s="15" t="inlineStr">
        <is>
          <t>REF-2026.03.01-r2</t>
        </is>
      </c>
      <c r="E198" s="15" t="inlineStr">
        <is>
          <t>public_holiday</t>
        </is>
      </c>
      <c r="F198" s="14" t="inlineStr">
        <is>
          <t>Public holiday — Christmas Day, 25 December 2026 — is statutory</t>
        </is>
      </c>
      <c r="G198" s="15" t="inlineStr">
        <is>
          <t>Yes</t>
        </is>
      </c>
      <c r="H198" s="15" t="inlineStr"/>
      <c r="I198" s="15" t="inlineStr"/>
      <c r="J198" s="15" t="inlineStr">
        <is>
          <t>public_holiday:11:is_statutory</t>
        </is>
      </c>
    </row>
    <row r="199">
      <c r="A199" s="14" t="inlineStr">
        <is>
          <t>Public Holidays Act 36 of 1994</t>
        </is>
      </c>
      <c r="B199" s="14" t="inlineStr">
        <is>
          <t>Schedule 1</t>
        </is>
      </c>
      <c r="C199" s="15" t="inlineStr"/>
      <c r="D199" s="15" t="inlineStr">
        <is>
          <t>REF-2026.03.01-r2</t>
        </is>
      </c>
      <c r="E199" s="15" t="inlineStr">
        <is>
          <t>public_holiday</t>
        </is>
      </c>
      <c r="F199" s="14" t="inlineStr">
        <is>
          <t>Public holiday — Christmas Day, 25 December 2026 — name</t>
        </is>
      </c>
      <c r="G199" s="15" t="inlineStr">
        <is>
          <t>Christmas Day</t>
        </is>
      </c>
      <c r="H199" s="15" t="inlineStr"/>
      <c r="I199" s="15" t="inlineStr"/>
      <c r="J199" s="15" t="inlineStr">
        <is>
          <t>public_holiday:11:name</t>
        </is>
      </c>
    </row>
    <row r="200">
      <c r="A200" s="14" t="inlineStr">
        <is>
          <t>Public Holidays Act 36 of 1994</t>
        </is>
      </c>
      <c r="B200" s="14" t="inlineStr">
        <is>
          <t>Schedule 1</t>
        </is>
      </c>
      <c r="C200" s="15" t="inlineStr"/>
      <c r="D200" s="15" t="inlineStr">
        <is>
          <t>REF-2026.03.01-r2</t>
        </is>
      </c>
      <c r="E200" s="15" t="inlineStr">
        <is>
          <t>public_holiday</t>
        </is>
      </c>
      <c r="F200" s="14" t="inlineStr">
        <is>
          <t>Public holiday — Day of Goodwill, 26 December 2026 — holiday date</t>
        </is>
      </c>
      <c r="G200" s="15" t="inlineStr">
        <is>
          <t>26 December 2026</t>
        </is>
      </c>
      <c r="H200" s="15" t="inlineStr"/>
      <c r="I200" s="15" t="inlineStr"/>
      <c r="J200" s="15" t="inlineStr">
        <is>
          <t>public_holiday:12:holiday_date</t>
        </is>
      </c>
    </row>
    <row r="201">
      <c r="A201" s="14" t="inlineStr">
        <is>
          <t>Public Holidays Act 36 of 1994</t>
        </is>
      </c>
      <c r="B201" s="14" t="inlineStr">
        <is>
          <t>Schedule 1</t>
        </is>
      </c>
      <c r="C201" s="15" t="inlineStr"/>
      <c r="D201" s="15" t="inlineStr">
        <is>
          <t>REF-2026.03.01-r2</t>
        </is>
      </c>
      <c r="E201" s="15" t="inlineStr">
        <is>
          <t>public_holiday</t>
        </is>
      </c>
      <c r="F201" s="14" t="inlineStr">
        <is>
          <t>Public holiday — Day of Goodwill, 26 December 2026 — is statutory</t>
        </is>
      </c>
      <c r="G201" s="15" t="inlineStr">
        <is>
          <t>Yes</t>
        </is>
      </c>
      <c r="H201" s="15" t="inlineStr"/>
      <c r="I201" s="15" t="inlineStr"/>
      <c r="J201" s="15" t="inlineStr">
        <is>
          <t>public_holiday:12:is_statutory</t>
        </is>
      </c>
    </row>
    <row r="202">
      <c r="A202" s="14" t="inlineStr">
        <is>
          <t>Public Holidays Act 36 of 1994</t>
        </is>
      </c>
      <c r="B202" s="14" t="inlineStr">
        <is>
          <t>Schedule 1</t>
        </is>
      </c>
      <c r="C202" s="15" t="inlineStr"/>
      <c r="D202" s="15" t="inlineStr">
        <is>
          <t>REF-2026.03.01-r2</t>
        </is>
      </c>
      <c r="E202" s="15" t="inlineStr">
        <is>
          <t>public_holiday</t>
        </is>
      </c>
      <c r="F202" s="14" t="inlineStr">
        <is>
          <t>Public holiday — Day of Goodwill, 26 December 2026 — name</t>
        </is>
      </c>
      <c r="G202" s="15" t="inlineStr">
        <is>
          <t>Day of Goodwill</t>
        </is>
      </c>
      <c r="H202" s="15" t="inlineStr"/>
      <c r="I202" s="15" t="inlineStr"/>
      <c r="J202" s="15" t="inlineStr">
        <is>
          <t>public_holiday:12:name</t>
        </is>
      </c>
    </row>
    <row r="203">
      <c r="A203" s="14" t="inlineStr">
        <is>
          <t>Public Holidays Act 36 of 1994</t>
        </is>
      </c>
      <c r="B203" s="14" t="inlineStr">
        <is>
          <t>Schedule 1</t>
        </is>
      </c>
      <c r="C203" s="15" t="inlineStr"/>
      <c r="D203" s="15" t="inlineStr">
        <is>
          <t>REF-2026.03.01-r2</t>
        </is>
      </c>
      <c r="E203" s="15" t="inlineStr">
        <is>
          <t>public_holiday</t>
        </is>
      </c>
      <c r="F203" s="14" t="inlineStr">
        <is>
          <t>Public holiday — New Year's Day, 01 January 2027 — holiday date</t>
        </is>
      </c>
      <c r="G203" s="15" t="inlineStr">
        <is>
          <t>01 January 2027</t>
        </is>
      </c>
      <c r="H203" s="15" t="inlineStr"/>
      <c r="I203" s="15" t="inlineStr"/>
      <c r="J203" s="15" t="inlineStr">
        <is>
          <t>public_holiday:13:holiday_date</t>
        </is>
      </c>
    </row>
    <row r="204">
      <c r="A204" s="14" t="inlineStr">
        <is>
          <t>Public Holidays Act 36 of 1994</t>
        </is>
      </c>
      <c r="B204" s="14" t="inlineStr">
        <is>
          <t>Schedule 1</t>
        </is>
      </c>
      <c r="C204" s="15" t="inlineStr"/>
      <c r="D204" s="15" t="inlineStr">
        <is>
          <t>REF-2026.03.01-r2</t>
        </is>
      </c>
      <c r="E204" s="15" t="inlineStr">
        <is>
          <t>public_holiday</t>
        </is>
      </c>
      <c r="F204" s="14" t="inlineStr">
        <is>
          <t>Public holiday — New Year's Day, 01 January 2027 — is statutory</t>
        </is>
      </c>
      <c r="G204" s="15" t="inlineStr">
        <is>
          <t>Yes</t>
        </is>
      </c>
      <c r="H204" s="15" t="inlineStr"/>
      <c r="I204" s="15" t="inlineStr"/>
      <c r="J204" s="15" t="inlineStr">
        <is>
          <t>public_holiday:13:is_statutory</t>
        </is>
      </c>
    </row>
    <row r="205">
      <c r="A205" s="14" t="inlineStr">
        <is>
          <t>Public Holidays Act 36 of 1994</t>
        </is>
      </c>
      <c r="B205" s="14" t="inlineStr">
        <is>
          <t>Schedule 1</t>
        </is>
      </c>
      <c r="C205" s="15" t="inlineStr"/>
      <c r="D205" s="15" t="inlineStr">
        <is>
          <t>REF-2026.03.01-r2</t>
        </is>
      </c>
      <c r="E205" s="15" t="inlineStr">
        <is>
          <t>public_holiday</t>
        </is>
      </c>
      <c r="F205" s="14" t="inlineStr">
        <is>
          <t>Public holiday — New Year's Day, 01 January 2027 — name</t>
        </is>
      </c>
      <c r="G205" s="15" t="inlineStr">
        <is>
          <t>New Year's Day</t>
        </is>
      </c>
      <c r="H205" s="15" t="inlineStr"/>
      <c r="I205" s="15" t="inlineStr"/>
      <c r="J205" s="15" t="inlineStr">
        <is>
          <t>public_holiday:13:name</t>
        </is>
      </c>
    </row>
    <row r="206">
      <c r="A206" s="14" t="inlineStr">
        <is>
          <t>Public Holidays Act 36 of 1994</t>
        </is>
      </c>
      <c r="B206" s="14" t="inlineStr">
        <is>
          <t>Schedule 1</t>
        </is>
      </c>
      <c r="C206" s="15" t="inlineStr"/>
      <c r="D206" s="15" t="inlineStr">
        <is>
          <t>REF-2026.03.01-r2</t>
        </is>
      </c>
      <c r="E206" s="15" t="inlineStr">
        <is>
          <t>public_holiday</t>
        </is>
      </c>
      <c r="F206" s="14" t="inlineStr">
        <is>
          <t>Public holiday — Good Friday, 26 March 2027 — holiday date</t>
        </is>
      </c>
      <c r="G206" s="15" t="inlineStr">
        <is>
          <t>26 March 2027</t>
        </is>
      </c>
      <c r="H206" s="15" t="inlineStr"/>
      <c r="I206" s="15" t="inlineStr"/>
      <c r="J206" s="15" t="inlineStr">
        <is>
          <t>public_holiday:15:holiday_date</t>
        </is>
      </c>
    </row>
    <row r="207">
      <c r="A207" s="14" t="inlineStr">
        <is>
          <t>Public Holidays Act 36 of 1994</t>
        </is>
      </c>
      <c r="B207" s="14" t="inlineStr">
        <is>
          <t>Schedule 1</t>
        </is>
      </c>
      <c r="C207" s="15" t="inlineStr"/>
      <c r="D207" s="15" t="inlineStr">
        <is>
          <t>REF-2026.03.01-r2</t>
        </is>
      </c>
      <c r="E207" s="15" t="inlineStr">
        <is>
          <t>public_holiday</t>
        </is>
      </c>
      <c r="F207" s="14" t="inlineStr">
        <is>
          <t>Public holiday — Good Friday, 26 March 2027 — is statutory</t>
        </is>
      </c>
      <c r="G207" s="15" t="inlineStr">
        <is>
          <t>Yes</t>
        </is>
      </c>
      <c r="H207" s="15" t="inlineStr"/>
      <c r="I207" s="15" t="inlineStr"/>
      <c r="J207" s="15" t="inlineStr">
        <is>
          <t>public_holiday:15:is_statutory</t>
        </is>
      </c>
    </row>
    <row r="208">
      <c r="A208" s="14" t="inlineStr">
        <is>
          <t>Public Holidays Act 36 of 1994</t>
        </is>
      </c>
      <c r="B208" s="14" t="inlineStr">
        <is>
          <t>Schedule 1</t>
        </is>
      </c>
      <c r="C208" s="15" t="inlineStr"/>
      <c r="D208" s="15" t="inlineStr">
        <is>
          <t>REF-2026.03.01-r2</t>
        </is>
      </c>
      <c r="E208" s="15" t="inlineStr">
        <is>
          <t>public_holiday</t>
        </is>
      </c>
      <c r="F208" s="14" t="inlineStr">
        <is>
          <t>Public holiday — Good Friday, 26 March 2027 — name</t>
        </is>
      </c>
      <c r="G208" s="15" t="inlineStr">
        <is>
          <t>Good Friday</t>
        </is>
      </c>
      <c r="H208" s="15" t="inlineStr"/>
      <c r="I208" s="15" t="inlineStr"/>
      <c r="J208" s="15" t="inlineStr">
        <is>
          <t>public_holiday:15:name</t>
        </is>
      </c>
    </row>
    <row r="209">
      <c r="A209" s="14" t="inlineStr">
        <is>
          <t>Public Holidays Act 36 of 1994</t>
        </is>
      </c>
      <c r="B209" s="14" t="inlineStr">
        <is>
          <t>Schedule 1</t>
        </is>
      </c>
      <c r="C209" s="15" t="inlineStr"/>
      <c r="D209" s="15" t="inlineStr">
        <is>
          <t>REF-2026.03.01-r2</t>
        </is>
      </c>
      <c r="E209" s="15" t="inlineStr">
        <is>
          <t>public_holiday</t>
        </is>
      </c>
      <c r="F209" s="14" t="inlineStr">
        <is>
          <t>Public holiday — Family Day, 29 March 2027 — holiday date</t>
        </is>
      </c>
      <c r="G209" s="15" t="inlineStr">
        <is>
          <t>29 March 2027</t>
        </is>
      </c>
      <c r="H209" s="15" t="inlineStr"/>
      <c r="I209" s="15" t="inlineStr"/>
      <c r="J209" s="15" t="inlineStr">
        <is>
          <t>public_holiday:16:holiday_date</t>
        </is>
      </c>
    </row>
    <row r="210">
      <c r="A210" s="14" t="inlineStr">
        <is>
          <t>Public Holidays Act 36 of 1994</t>
        </is>
      </c>
      <c r="B210" s="14" t="inlineStr">
        <is>
          <t>Schedule 1</t>
        </is>
      </c>
      <c r="C210" s="15" t="inlineStr"/>
      <c r="D210" s="15" t="inlineStr">
        <is>
          <t>REF-2026.03.01-r2</t>
        </is>
      </c>
      <c r="E210" s="15" t="inlineStr">
        <is>
          <t>public_holiday</t>
        </is>
      </c>
      <c r="F210" s="14" t="inlineStr">
        <is>
          <t>Public holiday — Family Day, 29 March 2027 — is statutory</t>
        </is>
      </c>
      <c r="G210" s="15" t="inlineStr">
        <is>
          <t>Yes</t>
        </is>
      </c>
      <c r="H210" s="15" t="inlineStr"/>
      <c r="I210" s="15" t="inlineStr"/>
      <c r="J210" s="15" t="inlineStr">
        <is>
          <t>public_holiday:16:is_statutory</t>
        </is>
      </c>
    </row>
    <row r="211">
      <c r="A211" s="14" t="inlineStr">
        <is>
          <t>Public Holidays Act 36 of 1994</t>
        </is>
      </c>
      <c r="B211" s="14" t="inlineStr">
        <is>
          <t>Schedule 1</t>
        </is>
      </c>
      <c r="C211" s="15" t="inlineStr"/>
      <c r="D211" s="15" t="inlineStr">
        <is>
          <t>REF-2026.03.01-r2</t>
        </is>
      </c>
      <c r="E211" s="15" t="inlineStr">
        <is>
          <t>public_holiday</t>
        </is>
      </c>
      <c r="F211" s="14" t="inlineStr">
        <is>
          <t>Public holiday — Family Day, 29 March 2027 — name</t>
        </is>
      </c>
      <c r="G211" s="15" t="inlineStr">
        <is>
          <t>Family Day</t>
        </is>
      </c>
      <c r="H211" s="15" t="inlineStr"/>
      <c r="I211" s="15" t="inlineStr"/>
      <c r="J211" s="15" t="inlineStr">
        <is>
          <t>public_holiday:16:name</t>
        </is>
      </c>
    </row>
    <row r="212">
      <c r="A212" s="14" t="inlineStr">
        <is>
          <t>Public Holidays Act 36 of 1994</t>
        </is>
      </c>
      <c r="B212" s="14" t="inlineStr">
        <is>
          <t>Schedule 1</t>
        </is>
      </c>
      <c r="C212" s="15" t="inlineStr"/>
      <c r="D212" s="15" t="inlineStr">
        <is>
          <t>REF-2026.03.01-r2</t>
        </is>
      </c>
      <c r="E212" s="15" t="inlineStr">
        <is>
          <t>public_holiday</t>
        </is>
      </c>
      <c r="F212" s="14" t="inlineStr">
        <is>
          <t>Public holiday — Freedom Day, 27 April 2027 — holiday date</t>
        </is>
      </c>
      <c r="G212" s="15" t="inlineStr">
        <is>
          <t>27 April 2027</t>
        </is>
      </c>
      <c r="H212" s="15" t="inlineStr"/>
      <c r="I212" s="15" t="inlineStr"/>
      <c r="J212" s="15" t="inlineStr">
        <is>
          <t>public_holiday:17:holiday_date</t>
        </is>
      </c>
    </row>
    <row r="213">
      <c r="A213" s="14" t="inlineStr">
        <is>
          <t>Public Holidays Act 36 of 1994</t>
        </is>
      </c>
      <c r="B213" s="14" t="inlineStr">
        <is>
          <t>Schedule 1</t>
        </is>
      </c>
      <c r="C213" s="15" t="inlineStr"/>
      <c r="D213" s="15" t="inlineStr">
        <is>
          <t>REF-2026.03.01-r2</t>
        </is>
      </c>
      <c r="E213" s="15" t="inlineStr">
        <is>
          <t>public_holiday</t>
        </is>
      </c>
      <c r="F213" s="14" t="inlineStr">
        <is>
          <t>Public holiday — Freedom Day, 27 April 2027 — is statutory</t>
        </is>
      </c>
      <c r="G213" s="15" t="inlineStr">
        <is>
          <t>Yes</t>
        </is>
      </c>
      <c r="H213" s="15" t="inlineStr"/>
      <c r="I213" s="15" t="inlineStr"/>
      <c r="J213" s="15" t="inlineStr">
        <is>
          <t>public_holiday:17:is_statutory</t>
        </is>
      </c>
    </row>
    <row r="214">
      <c r="A214" s="14" t="inlineStr">
        <is>
          <t>Public Holidays Act 36 of 1994</t>
        </is>
      </c>
      <c r="B214" s="14" t="inlineStr">
        <is>
          <t>Schedule 1</t>
        </is>
      </c>
      <c r="C214" s="15" t="inlineStr"/>
      <c r="D214" s="15" t="inlineStr">
        <is>
          <t>REF-2026.03.01-r2</t>
        </is>
      </c>
      <c r="E214" s="15" t="inlineStr">
        <is>
          <t>public_holiday</t>
        </is>
      </c>
      <c r="F214" s="14" t="inlineStr">
        <is>
          <t>Public holiday — Freedom Day, 27 April 2027 — name</t>
        </is>
      </c>
      <c r="G214" s="15" t="inlineStr">
        <is>
          <t>Freedom Day</t>
        </is>
      </c>
      <c r="H214" s="15" t="inlineStr"/>
      <c r="I214" s="15" t="inlineStr"/>
      <c r="J214" s="15" t="inlineStr">
        <is>
          <t>public_holiday:17:name</t>
        </is>
      </c>
    </row>
    <row r="215">
      <c r="A215" s="14" t="inlineStr">
        <is>
          <t>Public Holidays Act 36 of 1994</t>
        </is>
      </c>
      <c r="B215" s="14" t="inlineStr">
        <is>
          <t>Schedule 1</t>
        </is>
      </c>
      <c r="C215" s="15" t="inlineStr"/>
      <c r="D215" s="15" t="inlineStr">
        <is>
          <t>REF-2026.03.01-r2</t>
        </is>
      </c>
      <c r="E215" s="15" t="inlineStr">
        <is>
          <t>public_holiday</t>
        </is>
      </c>
      <c r="F215" s="14" t="inlineStr">
        <is>
          <t>Public holiday — Workers' Day, 01 May 2027 — holiday date</t>
        </is>
      </c>
      <c r="G215" s="15" t="inlineStr">
        <is>
          <t>01 May 2027</t>
        </is>
      </c>
      <c r="H215" s="15" t="inlineStr"/>
      <c r="I215" s="15" t="inlineStr"/>
      <c r="J215" s="15" t="inlineStr">
        <is>
          <t>public_holiday:18:holiday_date</t>
        </is>
      </c>
    </row>
    <row r="216">
      <c r="A216" s="14" t="inlineStr">
        <is>
          <t>Public Holidays Act 36 of 1994</t>
        </is>
      </c>
      <c r="B216" s="14" t="inlineStr">
        <is>
          <t>Schedule 1</t>
        </is>
      </c>
      <c r="C216" s="15" t="inlineStr"/>
      <c r="D216" s="15" t="inlineStr">
        <is>
          <t>REF-2026.03.01-r2</t>
        </is>
      </c>
      <c r="E216" s="15" t="inlineStr">
        <is>
          <t>public_holiday</t>
        </is>
      </c>
      <c r="F216" s="14" t="inlineStr">
        <is>
          <t>Public holiday — Workers' Day, 01 May 2027 — is statutory</t>
        </is>
      </c>
      <c r="G216" s="15" t="inlineStr">
        <is>
          <t>Yes</t>
        </is>
      </c>
      <c r="H216" s="15" t="inlineStr"/>
      <c r="I216" s="15" t="inlineStr"/>
      <c r="J216" s="15" t="inlineStr">
        <is>
          <t>public_holiday:18:is_statutory</t>
        </is>
      </c>
    </row>
    <row r="217">
      <c r="A217" s="14" t="inlineStr">
        <is>
          <t>Public Holidays Act 36 of 1994</t>
        </is>
      </c>
      <c r="B217" s="14" t="inlineStr">
        <is>
          <t>Schedule 1</t>
        </is>
      </c>
      <c r="C217" s="15" t="inlineStr"/>
      <c r="D217" s="15" t="inlineStr">
        <is>
          <t>REF-2026.03.01-r2</t>
        </is>
      </c>
      <c r="E217" s="15" t="inlineStr">
        <is>
          <t>public_holiday</t>
        </is>
      </c>
      <c r="F217" s="14" t="inlineStr">
        <is>
          <t>Public holiday — Workers' Day, 01 May 2027 — name</t>
        </is>
      </c>
      <c r="G217" s="15" t="inlineStr">
        <is>
          <t>Workers' Day</t>
        </is>
      </c>
      <c r="H217" s="15" t="inlineStr"/>
      <c r="I217" s="15" t="inlineStr"/>
      <c r="J217" s="15" t="inlineStr">
        <is>
          <t>public_holiday:18:name</t>
        </is>
      </c>
    </row>
    <row r="218">
      <c r="A218" s="14" t="inlineStr">
        <is>
          <t>Public Holidays Act 36 of 1994</t>
        </is>
      </c>
      <c r="B218" s="14" t="inlineStr">
        <is>
          <t>Schedule 1</t>
        </is>
      </c>
      <c r="C218" s="15" t="inlineStr"/>
      <c r="D218" s="15" t="inlineStr">
        <is>
          <t>REF-2026.03.01-r2</t>
        </is>
      </c>
      <c r="E218" s="15" t="inlineStr">
        <is>
          <t>public_holiday</t>
        </is>
      </c>
      <c r="F218" s="14" t="inlineStr">
        <is>
          <t>Public holiday — Youth Day, 16 June 2027 — holiday date</t>
        </is>
      </c>
      <c r="G218" s="15" t="inlineStr">
        <is>
          <t>16 June 2027</t>
        </is>
      </c>
      <c r="H218" s="15" t="inlineStr"/>
      <c r="I218" s="15" t="inlineStr"/>
      <c r="J218" s="15" t="inlineStr">
        <is>
          <t>public_holiday:19:holiday_date</t>
        </is>
      </c>
    </row>
    <row r="219">
      <c r="A219" s="14" t="inlineStr">
        <is>
          <t>Public Holidays Act 36 of 1994</t>
        </is>
      </c>
      <c r="B219" s="14" t="inlineStr">
        <is>
          <t>Schedule 1</t>
        </is>
      </c>
      <c r="C219" s="15" t="inlineStr"/>
      <c r="D219" s="15" t="inlineStr">
        <is>
          <t>REF-2026.03.01-r2</t>
        </is>
      </c>
      <c r="E219" s="15" t="inlineStr">
        <is>
          <t>public_holiday</t>
        </is>
      </c>
      <c r="F219" s="14" t="inlineStr">
        <is>
          <t>Public holiday — Youth Day, 16 June 2027 — is statutory</t>
        </is>
      </c>
      <c r="G219" s="15" t="inlineStr">
        <is>
          <t>Yes</t>
        </is>
      </c>
      <c r="H219" s="15" t="inlineStr"/>
      <c r="I219" s="15" t="inlineStr"/>
      <c r="J219" s="15" t="inlineStr">
        <is>
          <t>public_holiday:19:is_statutory</t>
        </is>
      </c>
    </row>
    <row r="220">
      <c r="A220" s="14" t="inlineStr">
        <is>
          <t>Public Holidays Act 36 of 1994</t>
        </is>
      </c>
      <c r="B220" s="14" t="inlineStr">
        <is>
          <t>Schedule 1</t>
        </is>
      </c>
      <c r="C220" s="15" t="inlineStr"/>
      <c r="D220" s="15" t="inlineStr">
        <is>
          <t>REF-2026.03.01-r2</t>
        </is>
      </c>
      <c r="E220" s="15" t="inlineStr">
        <is>
          <t>public_holiday</t>
        </is>
      </c>
      <c r="F220" s="14" t="inlineStr">
        <is>
          <t>Public holiday — Youth Day, 16 June 2027 — name</t>
        </is>
      </c>
      <c r="G220" s="15" t="inlineStr">
        <is>
          <t>Youth Day</t>
        </is>
      </c>
      <c r="H220" s="15" t="inlineStr"/>
      <c r="I220" s="15" t="inlineStr"/>
      <c r="J220" s="15" t="inlineStr">
        <is>
          <t>public_holiday:19:name</t>
        </is>
      </c>
    </row>
    <row r="221">
      <c r="A221" s="14" t="inlineStr">
        <is>
          <t>Public Holidays Act 36 of 1994</t>
        </is>
      </c>
      <c r="B221" s="14" t="inlineStr">
        <is>
          <t>Schedule 1</t>
        </is>
      </c>
      <c r="C221" s="15" t="inlineStr"/>
      <c r="D221" s="15" t="inlineStr">
        <is>
          <t>REF-2026.03.01-r2</t>
        </is>
      </c>
      <c r="E221" s="15" t="inlineStr">
        <is>
          <t>public_holiday</t>
        </is>
      </c>
      <c r="F221" s="14" t="inlineStr">
        <is>
          <t>Public holiday — New Year's Day, 01 January 2026 — holiday date</t>
        </is>
      </c>
      <c r="G221" s="15" t="inlineStr">
        <is>
          <t>01 January 2026</t>
        </is>
      </c>
      <c r="H221" s="15" t="inlineStr"/>
      <c r="I221" s="15" t="inlineStr"/>
      <c r="J221" s="15" t="inlineStr">
        <is>
          <t>public_holiday:1:holiday_date</t>
        </is>
      </c>
    </row>
    <row r="222">
      <c r="A222" s="14" t="inlineStr">
        <is>
          <t>Public Holidays Act 36 of 1994</t>
        </is>
      </c>
      <c r="B222" s="14" t="inlineStr">
        <is>
          <t>Schedule 1</t>
        </is>
      </c>
      <c r="C222" s="15" t="inlineStr"/>
      <c r="D222" s="15" t="inlineStr">
        <is>
          <t>REF-2026.03.01-r2</t>
        </is>
      </c>
      <c r="E222" s="15" t="inlineStr">
        <is>
          <t>public_holiday</t>
        </is>
      </c>
      <c r="F222" s="14" t="inlineStr">
        <is>
          <t>Public holiday — New Year's Day, 01 January 2026 — is statutory</t>
        </is>
      </c>
      <c r="G222" s="15" t="inlineStr">
        <is>
          <t>Yes</t>
        </is>
      </c>
      <c r="H222" s="15" t="inlineStr"/>
      <c r="I222" s="15" t="inlineStr"/>
      <c r="J222" s="15" t="inlineStr">
        <is>
          <t>public_holiday:1:is_statutory</t>
        </is>
      </c>
    </row>
    <row r="223">
      <c r="A223" s="14" t="inlineStr">
        <is>
          <t>Public Holidays Act 36 of 1994</t>
        </is>
      </c>
      <c r="B223" s="14" t="inlineStr">
        <is>
          <t>Schedule 1</t>
        </is>
      </c>
      <c r="C223" s="15" t="inlineStr"/>
      <c r="D223" s="15" t="inlineStr">
        <is>
          <t>REF-2026.03.01-r2</t>
        </is>
      </c>
      <c r="E223" s="15" t="inlineStr">
        <is>
          <t>public_holiday</t>
        </is>
      </c>
      <c r="F223" s="14" t="inlineStr">
        <is>
          <t>Public holiday — New Year's Day, 01 January 2026 — name</t>
        </is>
      </c>
      <c r="G223" s="15" t="inlineStr">
        <is>
          <t>New Year's Day</t>
        </is>
      </c>
      <c r="H223" s="15" t="inlineStr"/>
      <c r="I223" s="15" t="inlineStr"/>
      <c r="J223" s="15" t="inlineStr">
        <is>
          <t>public_holiday:1:name</t>
        </is>
      </c>
    </row>
    <row r="224">
      <c r="A224" s="14" t="inlineStr">
        <is>
          <t>Public Holidays Act 36 of 1994</t>
        </is>
      </c>
      <c r="B224" s="14" t="inlineStr">
        <is>
          <t>Schedule 1</t>
        </is>
      </c>
      <c r="C224" s="15" t="inlineStr"/>
      <c r="D224" s="15" t="inlineStr">
        <is>
          <t>REF-2026.03.01-r2</t>
        </is>
      </c>
      <c r="E224" s="15" t="inlineStr">
        <is>
          <t>public_holiday</t>
        </is>
      </c>
      <c r="F224" s="14" t="inlineStr">
        <is>
          <t>Public holiday — National Women's Day, 09 August 2027 — holiday date</t>
        </is>
      </c>
      <c r="G224" s="15" t="inlineStr">
        <is>
          <t>09 August 2027</t>
        </is>
      </c>
      <c r="H224" s="15" t="inlineStr"/>
      <c r="I224" s="15" t="inlineStr"/>
      <c r="J224" s="15" t="inlineStr">
        <is>
          <t>public_holiday:20:holiday_date</t>
        </is>
      </c>
    </row>
    <row r="225">
      <c r="A225" s="14" t="inlineStr">
        <is>
          <t>Public Holidays Act 36 of 1994</t>
        </is>
      </c>
      <c r="B225" s="14" t="inlineStr">
        <is>
          <t>Schedule 1</t>
        </is>
      </c>
      <c r="C225" s="15" t="inlineStr"/>
      <c r="D225" s="15" t="inlineStr">
        <is>
          <t>REF-2026.03.01-r2</t>
        </is>
      </c>
      <c r="E225" s="15" t="inlineStr">
        <is>
          <t>public_holiday</t>
        </is>
      </c>
      <c r="F225" s="14" t="inlineStr">
        <is>
          <t>Public holiday — National Women's Day, 09 August 2027 — is statutory</t>
        </is>
      </c>
      <c r="G225" s="15" t="inlineStr">
        <is>
          <t>Yes</t>
        </is>
      </c>
      <c r="H225" s="15" t="inlineStr"/>
      <c r="I225" s="15" t="inlineStr"/>
      <c r="J225" s="15" t="inlineStr">
        <is>
          <t>public_holiday:20:is_statutory</t>
        </is>
      </c>
    </row>
    <row r="226">
      <c r="A226" s="14" t="inlineStr">
        <is>
          <t>Public Holidays Act 36 of 1994</t>
        </is>
      </c>
      <c r="B226" s="14" t="inlineStr">
        <is>
          <t>Schedule 1</t>
        </is>
      </c>
      <c r="C226" s="15" t="inlineStr"/>
      <c r="D226" s="15" t="inlineStr">
        <is>
          <t>REF-2026.03.01-r2</t>
        </is>
      </c>
      <c r="E226" s="15" t="inlineStr">
        <is>
          <t>public_holiday</t>
        </is>
      </c>
      <c r="F226" s="14" t="inlineStr">
        <is>
          <t>Public holiday — National Women's Day, 09 August 2027 — name</t>
        </is>
      </c>
      <c r="G226" s="15" t="inlineStr">
        <is>
          <t>National Women's Day</t>
        </is>
      </c>
      <c r="H226" s="15" t="inlineStr"/>
      <c r="I226" s="15" t="inlineStr"/>
      <c r="J226" s="15" t="inlineStr">
        <is>
          <t>public_holiday:20:name</t>
        </is>
      </c>
    </row>
    <row r="227">
      <c r="A227" s="14" t="inlineStr">
        <is>
          <t>Public Holidays Act 36 of 1994</t>
        </is>
      </c>
      <c r="B227" s="14" t="inlineStr">
        <is>
          <t>Schedule 1</t>
        </is>
      </c>
      <c r="C227" s="15" t="inlineStr"/>
      <c r="D227" s="15" t="inlineStr">
        <is>
          <t>REF-2026.03.01-r2</t>
        </is>
      </c>
      <c r="E227" s="15" t="inlineStr">
        <is>
          <t>public_holiday</t>
        </is>
      </c>
      <c r="F227" s="14" t="inlineStr">
        <is>
          <t>Public holiday — Heritage Day, 24 September 2027 — holiday date</t>
        </is>
      </c>
      <c r="G227" s="15" t="inlineStr">
        <is>
          <t>24 September 2027</t>
        </is>
      </c>
      <c r="H227" s="15" t="inlineStr"/>
      <c r="I227" s="15" t="inlineStr"/>
      <c r="J227" s="15" t="inlineStr">
        <is>
          <t>public_holiday:21:holiday_date</t>
        </is>
      </c>
    </row>
    <row r="228">
      <c r="A228" s="14" t="inlineStr">
        <is>
          <t>Public Holidays Act 36 of 1994</t>
        </is>
      </c>
      <c r="B228" s="14" t="inlineStr">
        <is>
          <t>Schedule 1</t>
        </is>
      </c>
      <c r="C228" s="15" t="inlineStr"/>
      <c r="D228" s="15" t="inlineStr">
        <is>
          <t>REF-2026.03.01-r2</t>
        </is>
      </c>
      <c r="E228" s="15" t="inlineStr">
        <is>
          <t>public_holiday</t>
        </is>
      </c>
      <c r="F228" s="14" t="inlineStr">
        <is>
          <t>Public holiday — Heritage Day, 24 September 2027 — is statutory</t>
        </is>
      </c>
      <c r="G228" s="15" t="inlineStr">
        <is>
          <t>Yes</t>
        </is>
      </c>
      <c r="H228" s="15" t="inlineStr"/>
      <c r="I228" s="15" t="inlineStr"/>
      <c r="J228" s="15" t="inlineStr">
        <is>
          <t>public_holiday:21:is_statutory</t>
        </is>
      </c>
    </row>
    <row r="229">
      <c r="A229" s="14" t="inlineStr">
        <is>
          <t>Public Holidays Act 36 of 1994</t>
        </is>
      </c>
      <c r="B229" s="14" t="inlineStr">
        <is>
          <t>Schedule 1</t>
        </is>
      </c>
      <c r="C229" s="15" t="inlineStr"/>
      <c r="D229" s="15" t="inlineStr">
        <is>
          <t>REF-2026.03.01-r2</t>
        </is>
      </c>
      <c r="E229" s="15" t="inlineStr">
        <is>
          <t>public_holiday</t>
        </is>
      </c>
      <c r="F229" s="14" t="inlineStr">
        <is>
          <t>Public holiday — Heritage Day, 24 September 2027 — name</t>
        </is>
      </c>
      <c r="G229" s="15" t="inlineStr">
        <is>
          <t>Heritage Day</t>
        </is>
      </c>
      <c r="H229" s="15" t="inlineStr"/>
      <c r="I229" s="15" t="inlineStr"/>
      <c r="J229" s="15" t="inlineStr">
        <is>
          <t>public_holiday:21:name</t>
        </is>
      </c>
    </row>
    <row r="230">
      <c r="A230" s="14" t="inlineStr">
        <is>
          <t>Public Holidays Act 36 of 1994</t>
        </is>
      </c>
      <c r="B230" s="14" t="inlineStr">
        <is>
          <t>Schedule 1</t>
        </is>
      </c>
      <c r="C230" s="15" t="inlineStr"/>
      <c r="D230" s="15" t="inlineStr">
        <is>
          <t>REF-2026.03.01-r2</t>
        </is>
      </c>
      <c r="E230" s="15" t="inlineStr">
        <is>
          <t>public_holiday</t>
        </is>
      </c>
      <c r="F230" s="14" t="inlineStr">
        <is>
          <t>Public holiday — Day of Reconciliation, 16 December 2027 — holiday date</t>
        </is>
      </c>
      <c r="G230" s="15" t="inlineStr">
        <is>
          <t>16 December 2027</t>
        </is>
      </c>
      <c r="H230" s="15" t="inlineStr"/>
      <c r="I230" s="15" t="inlineStr"/>
      <c r="J230" s="15" t="inlineStr">
        <is>
          <t>public_holiday:22:holiday_date</t>
        </is>
      </c>
    </row>
    <row r="231">
      <c r="A231" s="14" t="inlineStr">
        <is>
          <t>Public Holidays Act 36 of 1994</t>
        </is>
      </c>
      <c r="B231" s="14" t="inlineStr">
        <is>
          <t>Schedule 1</t>
        </is>
      </c>
      <c r="C231" s="15" t="inlineStr"/>
      <c r="D231" s="15" t="inlineStr">
        <is>
          <t>REF-2026.03.01-r2</t>
        </is>
      </c>
      <c r="E231" s="15" t="inlineStr">
        <is>
          <t>public_holiday</t>
        </is>
      </c>
      <c r="F231" s="14" t="inlineStr">
        <is>
          <t>Public holiday — Day of Reconciliation, 16 December 2027 — is statutory</t>
        </is>
      </c>
      <c r="G231" s="15" t="inlineStr">
        <is>
          <t>Yes</t>
        </is>
      </c>
      <c r="H231" s="15" t="inlineStr"/>
      <c r="I231" s="15" t="inlineStr"/>
      <c r="J231" s="15" t="inlineStr">
        <is>
          <t>public_holiday:22:is_statutory</t>
        </is>
      </c>
    </row>
    <row r="232">
      <c r="A232" s="14" t="inlineStr">
        <is>
          <t>Public Holidays Act 36 of 1994</t>
        </is>
      </c>
      <c r="B232" s="14" t="inlineStr">
        <is>
          <t>Schedule 1</t>
        </is>
      </c>
      <c r="C232" s="15" t="inlineStr"/>
      <c r="D232" s="15" t="inlineStr">
        <is>
          <t>REF-2026.03.01-r2</t>
        </is>
      </c>
      <c r="E232" s="15" t="inlineStr">
        <is>
          <t>public_holiday</t>
        </is>
      </c>
      <c r="F232" s="14" t="inlineStr">
        <is>
          <t>Public holiday — Day of Reconciliation, 16 December 2027 — name</t>
        </is>
      </c>
      <c r="G232" s="15" t="inlineStr">
        <is>
          <t>Day of Reconciliation</t>
        </is>
      </c>
      <c r="H232" s="15" t="inlineStr"/>
      <c r="I232" s="15" t="inlineStr"/>
      <c r="J232" s="15" t="inlineStr">
        <is>
          <t>public_holiday:22:name</t>
        </is>
      </c>
    </row>
    <row r="233">
      <c r="A233" s="14" t="inlineStr">
        <is>
          <t>Public Holidays Act 36 of 1994</t>
        </is>
      </c>
      <c r="B233" s="14" t="inlineStr">
        <is>
          <t>Schedule 1</t>
        </is>
      </c>
      <c r="C233" s="15" t="inlineStr"/>
      <c r="D233" s="15" t="inlineStr">
        <is>
          <t>REF-2026.03.01-r2</t>
        </is>
      </c>
      <c r="E233" s="15" t="inlineStr">
        <is>
          <t>public_holiday</t>
        </is>
      </c>
      <c r="F233" s="14" t="inlineStr">
        <is>
          <t>Public holiday — Christmas Day, 25 December 2027 — holiday date</t>
        </is>
      </c>
      <c r="G233" s="15" t="inlineStr">
        <is>
          <t>25 December 2027</t>
        </is>
      </c>
      <c r="H233" s="15" t="inlineStr"/>
      <c r="I233" s="15" t="inlineStr"/>
      <c r="J233" s="15" t="inlineStr">
        <is>
          <t>public_holiday:23:holiday_date</t>
        </is>
      </c>
    </row>
    <row r="234">
      <c r="A234" s="14" t="inlineStr">
        <is>
          <t>Public Holidays Act 36 of 1994</t>
        </is>
      </c>
      <c r="B234" s="14" t="inlineStr">
        <is>
          <t>Schedule 1</t>
        </is>
      </c>
      <c r="C234" s="15" t="inlineStr"/>
      <c r="D234" s="15" t="inlineStr">
        <is>
          <t>REF-2026.03.01-r2</t>
        </is>
      </c>
      <c r="E234" s="15" t="inlineStr">
        <is>
          <t>public_holiday</t>
        </is>
      </c>
      <c r="F234" s="14" t="inlineStr">
        <is>
          <t>Public holiday — Christmas Day, 25 December 2027 — is statutory</t>
        </is>
      </c>
      <c r="G234" s="15" t="inlineStr">
        <is>
          <t>Yes</t>
        </is>
      </c>
      <c r="H234" s="15" t="inlineStr"/>
      <c r="I234" s="15" t="inlineStr"/>
      <c r="J234" s="15" t="inlineStr">
        <is>
          <t>public_holiday:23:is_statutory</t>
        </is>
      </c>
    </row>
    <row r="235">
      <c r="A235" s="14" t="inlineStr">
        <is>
          <t>Public Holidays Act 36 of 1994</t>
        </is>
      </c>
      <c r="B235" s="14" t="inlineStr">
        <is>
          <t>Schedule 1</t>
        </is>
      </c>
      <c r="C235" s="15" t="inlineStr"/>
      <c r="D235" s="15" t="inlineStr">
        <is>
          <t>REF-2026.03.01-r2</t>
        </is>
      </c>
      <c r="E235" s="15" t="inlineStr">
        <is>
          <t>public_holiday</t>
        </is>
      </c>
      <c r="F235" s="14" t="inlineStr">
        <is>
          <t>Public holiday — Christmas Day, 25 December 2027 — name</t>
        </is>
      </c>
      <c r="G235" s="15" t="inlineStr">
        <is>
          <t>Christmas Day</t>
        </is>
      </c>
      <c r="H235" s="15" t="inlineStr"/>
      <c r="I235" s="15" t="inlineStr"/>
      <c r="J235" s="15" t="inlineStr">
        <is>
          <t>public_holiday:23:name</t>
        </is>
      </c>
    </row>
    <row r="236">
      <c r="A236" s="14" t="inlineStr">
        <is>
          <t>Public Holidays Act 36 of 1994</t>
        </is>
      </c>
      <c r="B236" s="14" t="inlineStr">
        <is>
          <t>Schedule 1</t>
        </is>
      </c>
      <c r="C236" s="15" t="inlineStr"/>
      <c r="D236" s="15" t="inlineStr">
        <is>
          <t>REF-2026.03.01-r2</t>
        </is>
      </c>
      <c r="E236" s="15" t="inlineStr">
        <is>
          <t>public_holiday</t>
        </is>
      </c>
      <c r="F236" s="14" t="inlineStr">
        <is>
          <t>Public holiday — Human Rights Day, 21 March 2026 — holiday date</t>
        </is>
      </c>
      <c r="G236" s="15" t="inlineStr">
        <is>
          <t>21 March 2026</t>
        </is>
      </c>
      <c r="H236" s="15" t="inlineStr"/>
      <c r="I236" s="15" t="inlineStr"/>
      <c r="J236" s="15" t="inlineStr">
        <is>
          <t>public_holiday:2:holiday_date</t>
        </is>
      </c>
    </row>
    <row r="237">
      <c r="A237" s="14" t="inlineStr">
        <is>
          <t>Public Holidays Act 36 of 1994</t>
        </is>
      </c>
      <c r="B237" s="14" t="inlineStr">
        <is>
          <t>Schedule 1</t>
        </is>
      </c>
      <c r="C237" s="15" t="inlineStr"/>
      <c r="D237" s="15" t="inlineStr">
        <is>
          <t>REF-2026.03.01-r2</t>
        </is>
      </c>
      <c r="E237" s="15" t="inlineStr">
        <is>
          <t>public_holiday</t>
        </is>
      </c>
      <c r="F237" s="14" t="inlineStr">
        <is>
          <t>Public holiday — Human Rights Day, 21 March 2026 — is statutory</t>
        </is>
      </c>
      <c r="G237" s="15" t="inlineStr">
        <is>
          <t>Yes</t>
        </is>
      </c>
      <c r="H237" s="15" t="inlineStr"/>
      <c r="I237" s="15" t="inlineStr"/>
      <c r="J237" s="15" t="inlineStr">
        <is>
          <t>public_holiday:2:is_statutory</t>
        </is>
      </c>
    </row>
    <row r="238">
      <c r="A238" s="14" t="inlineStr">
        <is>
          <t>Public Holidays Act 36 of 1994</t>
        </is>
      </c>
      <c r="B238" s="14" t="inlineStr">
        <is>
          <t>Schedule 1</t>
        </is>
      </c>
      <c r="C238" s="15" t="inlineStr"/>
      <c r="D238" s="15" t="inlineStr">
        <is>
          <t>REF-2026.03.01-r2</t>
        </is>
      </c>
      <c r="E238" s="15" t="inlineStr">
        <is>
          <t>public_holiday</t>
        </is>
      </c>
      <c r="F238" s="14" t="inlineStr">
        <is>
          <t>Public holiday — Human Rights Day, 21 March 2026 — name</t>
        </is>
      </c>
      <c r="G238" s="15" t="inlineStr">
        <is>
          <t>Human Rights Day</t>
        </is>
      </c>
      <c r="H238" s="15" t="inlineStr"/>
      <c r="I238" s="15" t="inlineStr"/>
      <c r="J238" s="15" t="inlineStr">
        <is>
          <t>public_holiday:2:name</t>
        </is>
      </c>
    </row>
    <row r="239">
      <c r="A239" s="14" t="inlineStr">
        <is>
          <t>Public Holidays Act 36 of 1994</t>
        </is>
      </c>
      <c r="B239" s="14" t="inlineStr">
        <is>
          <t>Schedule 1</t>
        </is>
      </c>
      <c r="C239" s="15" t="inlineStr"/>
      <c r="D239" s="15" t="inlineStr">
        <is>
          <t>REF-2026.03.01-r2</t>
        </is>
      </c>
      <c r="E239" s="15" t="inlineStr">
        <is>
          <t>public_holiday</t>
        </is>
      </c>
      <c r="F239" s="14" t="inlineStr">
        <is>
          <t>Public holiday — Good Friday, 03 April 2026 — holiday date</t>
        </is>
      </c>
      <c r="G239" s="15" t="inlineStr">
        <is>
          <t>03 April 2026</t>
        </is>
      </c>
      <c r="H239" s="15" t="inlineStr"/>
      <c r="I239" s="15" t="inlineStr"/>
      <c r="J239" s="15" t="inlineStr">
        <is>
          <t>public_holiday:3:holiday_date</t>
        </is>
      </c>
    </row>
    <row r="240">
      <c r="A240" s="14" t="inlineStr">
        <is>
          <t>Public Holidays Act 36 of 1994</t>
        </is>
      </c>
      <c r="B240" s="14" t="inlineStr">
        <is>
          <t>Schedule 1</t>
        </is>
      </c>
      <c r="C240" s="15" t="inlineStr"/>
      <c r="D240" s="15" t="inlineStr">
        <is>
          <t>REF-2026.03.01-r2</t>
        </is>
      </c>
      <c r="E240" s="15" t="inlineStr">
        <is>
          <t>public_holiday</t>
        </is>
      </c>
      <c r="F240" s="14" t="inlineStr">
        <is>
          <t>Public holiday — Good Friday, 03 April 2026 — is statutory</t>
        </is>
      </c>
      <c r="G240" s="15" t="inlineStr">
        <is>
          <t>Yes</t>
        </is>
      </c>
      <c r="H240" s="15" t="inlineStr"/>
      <c r="I240" s="15" t="inlineStr"/>
      <c r="J240" s="15" t="inlineStr">
        <is>
          <t>public_holiday:3:is_statutory</t>
        </is>
      </c>
    </row>
    <row r="241">
      <c r="A241" s="14" t="inlineStr">
        <is>
          <t>Public Holidays Act 36 of 1994</t>
        </is>
      </c>
      <c r="B241" s="14" t="inlineStr">
        <is>
          <t>Schedule 1</t>
        </is>
      </c>
      <c r="C241" s="15" t="inlineStr"/>
      <c r="D241" s="15" t="inlineStr">
        <is>
          <t>REF-2026.03.01-r2</t>
        </is>
      </c>
      <c r="E241" s="15" t="inlineStr">
        <is>
          <t>public_holiday</t>
        </is>
      </c>
      <c r="F241" s="14" t="inlineStr">
        <is>
          <t>Public holiday — Good Friday, 03 April 2026 — name</t>
        </is>
      </c>
      <c r="G241" s="15" t="inlineStr">
        <is>
          <t>Good Friday</t>
        </is>
      </c>
      <c r="H241" s="15" t="inlineStr"/>
      <c r="I241" s="15" t="inlineStr"/>
      <c r="J241" s="15" t="inlineStr">
        <is>
          <t>public_holiday:3:name</t>
        </is>
      </c>
    </row>
    <row r="242">
      <c r="A242" s="14" t="inlineStr">
        <is>
          <t>Public Holidays Act 36 of 1994</t>
        </is>
      </c>
      <c r="B242" s="14" t="inlineStr">
        <is>
          <t>Schedule 1</t>
        </is>
      </c>
      <c r="C242" s="15" t="inlineStr"/>
      <c r="D242" s="15" t="inlineStr">
        <is>
          <t>REF-2026.03.01-r2</t>
        </is>
      </c>
      <c r="E242" s="15" t="inlineStr">
        <is>
          <t>public_holiday</t>
        </is>
      </c>
      <c r="F242" s="14" t="inlineStr">
        <is>
          <t>Public holiday — Family Day, 06 April 2026 — holiday date</t>
        </is>
      </c>
      <c r="G242" s="15" t="inlineStr">
        <is>
          <t>06 April 2026</t>
        </is>
      </c>
      <c r="H242" s="15" t="inlineStr"/>
      <c r="I242" s="15" t="inlineStr"/>
      <c r="J242" s="15" t="inlineStr">
        <is>
          <t>public_holiday:4:holiday_date</t>
        </is>
      </c>
    </row>
    <row r="243">
      <c r="A243" s="14" t="inlineStr">
        <is>
          <t>Public Holidays Act 36 of 1994</t>
        </is>
      </c>
      <c r="B243" s="14" t="inlineStr">
        <is>
          <t>Schedule 1</t>
        </is>
      </c>
      <c r="C243" s="15" t="inlineStr"/>
      <c r="D243" s="15" t="inlineStr">
        <is>
          <t>REF-2026.03.01-r2</t>
        </is>
      </c>
      <c r="E243" s="15" t="inlineStr">
        <is>
          <t>public_holiday</t>
        </is>
      </c>
      <c r="F243" s="14" t="inlineStr">
        <is>
          <t>Public holiday — Family Day, 06 April 2026 — is statutory</t>
        </is>
      </c>
      <c r="G243" s="15" t="inlineStr">
        <is>
          <t>Yes</t>
        </is>
      </c>
      <c r="H243" s="15" t="inlineStr"/>
      <c r="I243" s="15" t="inlineStr"/>
      <c r="J243" s="15" t="inlineStr">
        <is>
          <t>public_holiday:4:is_statutory</t>
        </is>
      </c>
    </row>
    <row r="244">
      <c r="A244" s="14" t="inlineStr">
        <is>
          <t>Public Holidays Act 36 of 1994</t>
        </is>
      </c>
      <c r="B244" s="14" t="inlineStr">
        <is>
          <t>Schedule 1</t>
        </is>
      </c>
      <c r="C244" s="15" t="inlineStr"/>
      <c r="D244" s="15" t="inlineStr">
        <is>
          <t>REF-2026.03.01-r2</t>
        </is>
      </c>
      <c r="E244" s="15" t="inlineStr">
        <is>
          <t>public_holiday</t>
        </is>
      </c>
      <c r="F244" s="14" t="inlineStr">
        <is>
          <t>Public holiday — Family Day, 06 April 2026 — name</t>
        </is>
      </c>
      <c r="G244" s="15" t="inlineStr">
        <is>
          <t>Family Day</t>
        </is>
      </c>
      <c r="H244" s="15" t="inlineStr"/>
      <c r="I244" s="15" t="inlineStr"/>
      <c r="J244" s="15" t="inlineStr">
        <is>
          <t>public_holiday:4:name</t>
        </is>
      </c>
    </row>
    <row r="245">
      <c r="A245" s="14" t="inlineStr">
        <is>
          <t>Public Holidays Act 36 of 1994</t>
        </is>
      </c>
      <c r="B245" s="14" t="inlineStr">
        <is>
          <t>Schedule 1</t>
        </is>
      </c>
      <c r="C245" s="15" t="inlineStr"/>
      <c r="D245" s="15" t="inlineStr">
        <is>
          <t>REF-2026.03.01-r2</t>
        </is>
      </c>
      <c r="E245" s="15" t="inlineStr">
        <is>
          <t>public_holiday</t>
        </is>
      </c>
      <c r="F245" s="14" t="inlineStr">
        <is>
          <t>Public holiday — Freedom Day, 27 April 2026 — holiday date</t>
        </is>
      </c>
      <c r="G245" s="15" t="inlineStr">
        <is>
          <t>27 April 2026</t>
        </is>
      </c>
      <c r="H245" s="15" t="inlineStr"/>
      <c r="I245" s="15" t="inlineStr"/>
      <c r="J245" s="15" t="inlineStr">
        <is>
          <t>public_holiday:5:holiday_date</t>
        </is>
      </c>
    </row>
    <row r="246">
      <c r="A246" s="14" t="inlineStr">
        <is>
          <t>Public Holidays Act 36 of 1994</t>
        </is>
      </c>
      <c r="B246" s="14" t="inlineStr">
        <is>
          <t>Schedule 1</t>
        </is>
      </c>
      <c r="C246" s="15" t="inlineStr"/>
      <c r="D246" s="15" t="inlineStr">
        <is>
          <t>REF-2026.03.01-r2</t>
        </is>
      </c>
      <c r="E246" s="15" t="inlineStr">
        <is>
          <t>public_holiday</t>
        </is>
      </c>
      <c r="F246" s="14" t="inlineStr">
        <is>
          <t>Public holiday — Freedom Day, 27 April 2026 — is statutory</t>
        </is>
      </c>
      <c r="G246" s="15" t="inlineStr">
        <is>
          <t>Yes</t>
        </is>
      </c>
      <c r="H246" s="15" t="inlineStr"/>
      <c r="I246" s="15" t="inlineStr"/>
      <c r="J246" s="15" t="inlineStr">
        <is>
          <t>public_holiday:5:is_statutory</t>
        </is>
      </c>
    </row>
    <row r="247">
      <c r="A247" s="14" t="inlineStr">
        <is>
          <t>Public Holidays Act 36 of 1994</t>
        </is>
      </c>
      <c r="B247" s="14" t="inlineStr">
        <is>
          <t>Schedule 1</t>
        </is>
      </c>
      <c r="C247" s="15" t="inlineStr"/>
      <c r="D247" s="15" t="inlineStr">
        <is>
          <t>REF-2026.03.01-r2</t>
        </is>
      </c>
      <c r="E247" s="15" t="inlineStr">
        <is>
          <t>public_holiday</t>
        </is>
      </c>
      <c r="F247" s="14" t="inlineStr">
        <is>
          <t>Public holiday — Freedom Day, 27 April 2026 — name</t>
        </is>
      </c>
      <c r="G247" s="15" t="inlineStr">
        <is>
          <t>Freedom Day</t>
        </is>
      </c>
      <c r="H247" s="15" t="inlineStr"/>
      <c r="I247" s="15" t="inlineStr"/>
      <c r="J247" s="15" t="inlineStr">
        <is>
          <t>public_holiday:5:name</t>
        </is>
      </c>
    </row>
    <row r="248">
      <c r="A248" s="14" t="inlineStr">
        <is>
          <t>Public Holidays Act 36 of 1994</t>
        </is>
      </c>
      <c r="B248" s="14" t="inlineStr">
        <is>
          <t>Schedule 1</t>
        </is>
      </c>
      <c r="C248" s="15" t="inlineStr"/>
      <c r="D248" s="15" t="inlineStr">
        <is>
          <t>REF-2026.03.01-r2</t>
        </is>
      </c>
      <c r="E248" s="15" t="inlineStr">
        <is>
          <t>public_holiday</t>
        </is>
      </c>
      <c r="F248" s="14" t="inlineStr">
        <is>
          <t>Public holiday — Workers' Day, 01 May 2026 — holiday date</t>
        </is>
      </c>
      <c r="G248" s="15" t="inlineStr">
        <is>
          <t>01 May 2026</t>
        </is>
      </c>
      <c r="H248" s="15" t="inlineStr"/>
      <c r="I248" s="15" t="inlineStr"/>
      <c r="J248" s="15" t="inlineStr">
        <is>
          <t>public_holiday:6:holiday_date</t>
        </is>
      </c>
    </row>
    <row r="249">
      <c r="A249" s="14" t="inlineStr">
        <is>
          <t>Public Holidays Act 36 of 1994</t>
        </is>
      </c>
      <c r="B249" s="14" t="inlineStr">
        <is>
          <t>Schedule 1</t>
        </is>
      </c>
      <c r="C249" s="15" t="inlineStr"/>
      <c r="D249" s="15" t="inlineStr">
        <is>
          <t>REF-2026.03.01-r2</t>
        </is>
      </c>
      <c r="E249" s="15" t="inlineStr">
        <is>
          <t>public_holiday</t>
        </is>
      </c>
      <c r="F249" s="14" t="inlineStr">
        <is>
          <t>Public holiday — Workers' Day, 01 May 2026 — is statutory</t>
        </is>
      </c>
      <c r="G249" s="15" t="inlineStr">
        <is>
          <t>Yes</t>
        </is>
      </c>
      <c r="H249" s="15" t="inlineStr"/>
      <c r="I249" s="15" t="inlineStr"/>
      <c r="J249" s="15" t="inlineStr">
        <is>
          <t>public_holiday:6:is_statutory</t>
        </is>
      </c>
    </row>
    <row r="250">
      <c r="A250" s="14" t="inlineStr">
        <is>
          <t>Public Holidays Act 36 of 1994</t>
        </is>
      </c>
      <c r="B250" s="14" t="inlineStr">
        <is>
          <t>Schedule 1</t>
        </is>
      </c>
      <c r="C250" s="15" t="inlineStr"/>
      <c r="D250" s="15" t="inlineStr">
        <is>
          <t>REF-2026.03.01-r2</t>
        </is>
      </c>
      <c r="E250" s="15" t="inlineStr">
        <is>
          <t>public_holiday</t>
        </is>
      </c>
      <c r="F250" s="14" t="inlineStr">
        <is>
          <t>Public holiday — Workers' Day, 01 May 2026 — name</t>
        </is>
      </c>
      <c r="G250" s="15" t="inlineStr">
        <is>
          <t>Workers' Day</t>
        </is>
      </c>
      <c r="H250" s="15" t="inlineStr"/>
      <c r="I250" s="15" t="inlineStr"/>
      <c r="J250" s="15" t="inlineStr">
        <is>
          <t>public_holiday:6:name</t>
        </is>
      </c>
    </row>
    <row r="251">
      <c r="A251" s="14" t="inlineStr">
        <is>
          <t>Public Holidays Act 36 of 1994</t>
        </is>
      </c>
      <c r="B251" s="14" t="inlineStr">
        <is>
          <t>Schedule 1</t>
        </is>
      </c>
      <c r="C251" s="15" t="inlineStr"/>
      <c r="D251" s="15" t="inlineStr">
        <is>
          <t>REF-2026.03.01-r2</t>
        </is>
      </c>
      <c r="E251" s="15" t="inlineStr">
        <is>
          <t>public_holiday</t>
        </is>
      </c>
      <c r="F251" s="14" t="inlineStr">
        <is>
          <t>Public holiday — Youth Day, 16 June 2026 — holiday date</t>
        </is>
      </c>
      <c r="G251" s="15" t="inlineStr">
        <is>
          <t>16 June 2026</t>
        </is>
      </c>
      <c r="H251" s="15" t="inlineStr"/>
      <c r="I251" s="15" t="inlineStr"/>
      <c r="J251" s="15" t="inlineStr">
        <is>
          <t>public_holiday:7:holiday_date</t>
        </is>
      </c>
    </row>
    <row r="252">
      <c r="A252" s="14" t="inlineStr">
        <is>
          <t>Public Holidays Act 36 of 1994</t>
        </is>
      </c>
      <c r="B252" s="14" t="inlineStr">
        <is>
          <t>Schedule 1</t>
        </is>
      </c>
      <c r="C252" s="15" t="inlineStr"/>
      <c r="D252" s="15" t="inlineStr">
        <is>
          <t>REF-2026.03.01-r2</t>
        </is>
      </c>
      <c r="E252" s="15" t="inlineStr">
        <is>
          <t>public_holiday</t>
        </is>
      </c>
      <c r="F252" s="14" t="inlineStr">
        <is>
          <t>Public holiday — Youth Day, 16 June 2026 — is statutory</t>
        </is>
      </c>
      <c r="G252" s="15" t="inlineStr">
        <is>
          <t>Yes</t>
        </is>
      </c>
      <c r="H252" s="15" t="inlineStr"/>
      <c r="I252" s="15" t="inlineStr"/>
      <c r="J252" s="15" t="inlineStr">
        <is>
          <t>public_holiday:7:is_statutory</t>
        </is>
      </c>
    </row>
    <row r="253">
      <c r="A253" s="14" t="inlineStr">
        <is>
          <t>Public Holidays Act 36 of 1994</t>
        </is>
      </c>
      <c r="B253" s="14" t="inlineStr">
        <is>
          <t>Schedule 1</t>
        </is>
      </c>
      <c r="C253" s="15" t="inlineStr"/>
      <c r="D253" s="15" t="inlineStr">
        <is>
          <t>REF-2026.03.01-r2</t>
        </is>
      </c>
      <c r="E253" s="15" t="inlineStr">
        <is>
          <t>public_holiday</t>
        </is>
      </c>
      <c r="F253" s="14" t="inlineStr">
        <is>
          <t>Public holiday — Youth Day, 16 June 2026 — name</t>
        </is>
      </c>
      <c r="G253" s="15" t="inlineStr">
        <is>
          <t>Youth Day</t>
        </is>
      </c>
      <c r="H253" s="15" t="inlineStr"/>
      <c r="I253" s="15" t="inlineStr"/>
      <c r="J253" s="15" t="inlineStr">
        <is>
          <t>public_holiday:7:name</t>
        </is>
      </c>
    </row>
    <row r="254">
      <c r="A254" s="14" t="inlineStr">
        <is>
          <t>Public Holidays Act 36 of 1994</t>
        </is>
      </c>
      <c r="B254" s="14" t="inlineStr">
        <is>
          <t>Schedule 1</t>
        </is>
      </c>
      <c r="C254" s="15" t="inlineStr"/>
      <c r="D254" s="15" t="inlineStr">
        <is>
          <t>REF-2026.03.01-r2</t>
        </is>
      </c>
      <c r="E254" s="15" t="inlineStr">
        <is>
          <t>public_holiday</t>
        </is>
      </c>
      <c r="F254" s="14" t="inlineStr">
        <is>
          <t>Public holiday — Heritage Day, 24 September 2026 — holiday date</t>
        </is>
      </c>
      <c r="G254" s="15" t="inlineStr">
        <is>
          <t>24 September 2026</t>
        </is>
      </c>
      <c r="H254" s="15" t="inlineStr"/>
      <c r="I254" s="15" t="inlineStr"/>
      <c r="J254" s="15" t="inlineStr">
        <is>
          <t>public_holiday:9:holiday_date</t>
        </is>
      </c>
    </row>
    <row r="255">
      <c r="A255" s="14" t="inlineStr">
        <is>
          <t>Public Holidays Act 36 of 1994</t>
        </is>
      </c>
      <c r="B255" s="14" t="inlineStr">
        <is>
          <t>Schedule 1</t>
        </is>
      </c>
      <c r="C255" s="15" t="inlineStr"/>
      <c r="D255" s="15" t="inlineStr">
        <is>
          <t>REF-2026.03.01-r2</t>
        </is>
      </c>
      <c r="E255" s="15" t="inlineStr">
        <is>
          <t>public_holiday</t>
        </is>
      </c>
      <c r="F255" s="14" t="inlineStr">
        <is>
          <t>Public holiday — Heritage Day, 24 September 2026 — is statutory</t>
        </is>
      </c>
      <c r="G255" s="15" t="inlineStr">
        <is>
          <t>Yes</t>
        </is>
      </c>
      <c r="H255" s="15" t="inlineStr"/>
      <c r="I255" s="15" t="inlineStr"/>
      <c r="J255" s="15" t="inlineStr">
        <is>
          <t>public_holiday:9:is_statutory</t>
        </is>
      </c>
    </row>
    <row r="256">
      <c r="A256" s="14" t="inlineStr">
        <is>
          <t>Public Holidays Act 36 of 1994</t>
        </is>
      </c>
      <c r="B256" s="14" t="inlineStr">
        <is>
          <t>Schedule 1</t>
        </is>
      </c>
      <c r="C256" s="15" t="inlineStr"/>
      <c r="D256" s="15" t="inlineStr">
        <is>
          <t>REF-2026.03.01-r2</t>
        </is>
      </c>
      <c r="E256" s="15" t="inlineStr">
        <is>
          <t>public_holiday</t>
        </is>
      </c>
      <c r="F256" s="14" t="inlineStr">
        <is>
          <t>Public holiday — Heritage Day, 24 September 2026 — name</t>
        </is>
      </c>
      <c r="G256" s="15" t="inlineStr">
        <is>
          <t>Heritage Day</t>
        </is>
      </c>
      <c r="H256" s="15" t="inlineStr"/>
      <c r="I256" s="15" t="inlineStr"/>
      <c r="J256" s="15" t="inlineStr">
        <is>
          <t>public_holiday:9:name</t>
        </is>
      </c>
    </row>
    <row r="257">
      <c r="A257" s="14" t="inlineStr">
        <is>
          <t>Public Holidays Act 36 of 1994</t>
        </is>
      </c>
      <c r="B257" s="14" t="inlineStr">
        <is>
          <t>s2(1)</t>
        </is>
      </c>
      <c r="C257" s="15" t="inlineStr"/>
      <c r="D257" s="15" t="inlineStr">
        <is>
          <t>REF-2026.03.01-r2</t>
        </is>
      </c>
      <c r="E257" s="15" t="inlineStr">
        <is>
          <t>public_holiday</t>
        </is>
      </c>
      <c r="F257" s="14" t="inlineStr">
        <is>
          <t>Public holiday — Human Rights Day, 22 March 2027 — holiday date</t>
        </is>
      </c>
      <c r="G257" s="15" t="inlineStr">
        <is>
          <t>22 March 2027</t>
        </is>
      </c>
      <c r="H257" s="15" t="inlineStr"/>
      <c r="I257" s="15" t="inlineStr"/>
      <c r="J257" s="15" t="inlineStr">
        <is>
          <t>public_holiday:14:holiday_date</t>
        </is>
      </c>
    </row>
    <row r="258">
      <c r="A258" s="14" t="inlineStr">
        <is>
          <t>Public Holidays Act 36 of 1994</t>
        </is>
      </c>
      <c r="B258" s="14" t="inlineStr">
        <is>
          <t>s2(1)</t>
        </is>
      </c>
      <c r="C258" s="15" t="inlineStr"/>
      <c r="D258" s="15" t="inlineStr">
        <is>
          <t>REF-2026.03.01-r2</t>
        </is>
      </c>
      <c r="E258" s="15" t="inlineStr">
        <is>
          <t>public_holiday</t>
        </is>
      </c>
      <c r="F258" s="14" t="inlineStr">
        <is>
          <t>Public holiday — Human Rights Day, 22 March 2027 — is statutory</t>
        </is>
      </c>
      <c r="G258" s="15" t="inlineStr">
        <is>
          <t>Yes</t>
        </is>
      </c>
      <c r="H258" s="15" t="inlineStr"/>
      <c r="I258" s="15" t="inlineStr"/>
      <c r="J258" s="15" t="inlineStr">
        <is>
          <t>public_holiday:14:is_statutory</t>
        </is>
      </c>
    </row>
    <row r="259">
      <c r="A259" s="14" t="inlineStr">
        <is>
          <t>Public Holidays Act 36 of 1994</t>
        </is>
      </c>
      <c r="B259" s="14" t="inlineStr">
        <is>
          <t>s2(1)</t>
        </is>
      </c>
      <c r="C259" s="15" t="inlineStr"/>
      <c r="D259" s="15" t="inlineStr">
        <is>
          <t>REF-2026.03.01-r2</t>
        </is>
      </c>
      <c r="E259" s="15" t="inlineStr">
        <is>
          <t>public_holiday</t>
        </is>
      </c>
      <c r="F259" s="14" t="inlineStr">
        <is>
          <t>Public holiday — Human Rights Day, 22 March 2027 — name</t>
        </is>
      </c>
      <c r="G259" s="15" t="inlineStr">
        <is>
          <t>Human Rights Day</t>
        </is>
      </c>
      <c r="H259" s="15" t="inlineStr"/>
      <c r="I259" s="15" t="inlineStr"/>
      <c r="J259" s="15" t="inlineStr">
        <is>
          <t>public_holiday:14:name</t>
        </is>
      </c>
    </row>
    <row r="260">
      <c r="A260" s="14" t="inlineStr">
        <is>
          <t>Public Holidays Act 36 of 1994</t>
        </is>
      </c>
      <c r="B260" s="14" t="inlineStr">
        <is>
          <t>s2(1)</t>
        </is>
      </c>
      <c r="C260" s="15" t="inlineStr"/>
      <c r="D260" s="15" t="inlineStr">
        <is>
          <t>REF-2026.03.01-r2</t>
        </is>
      </c>
      <c r="E260" s="15" t="inlineStr">
        <is>
          <t>public_holiday</t>
        </is>
      </c>
      <c r="F260" s="14" t="inlineStr">
        <is>
          <t>Public holiday — Human Rights Day, 22 March 2027 — shifted from date</t>
        </is>
      </c>
      <c r="G260" s="15" t="inlineStr">
        <is>
          <t>21 March 2027</t>
        </is>
      </c>
      <c r="H260" s="15" t="inlineStr"/>
      <c r="I260" s="15" t="inlineStr"/>
      <c r="J260" s="15" t="inlineStr">
        <is>
          <t>public_holiday:14:shifted_from_date</t>
        </is>
      </c>
    </row>
    <row r="261">
      <c r="A261" s="14" t="inlineStr">
        <is>
          <t>Public Holidays Act 36 of 1994</t>
        </is>
      </c>
      <c r="B261" s="14" t="inlineStr">
        <is>
          <t>s2(1)</t>
        </is>
      </c>
      <c r="C261" s="15" t="inlineStr"/>
      <c r="D261" s="15" t="inlineStr">
        <is>
          <t>REF-2026.03.01-r2</t>
        </is>
      </c>
      <c r="E261" s="15" t="inlineStr">
        <is>
          <t>public_holiday</t>
        </is>
      </c>
      <c r="F261" s="14" t="inlineStr">
        <is>
          <t>Public holiday — Day of Goodwill, 27 December 2027 — holiday date</t>
        </is>
      </c>
      <c r="G261" s="15" t="inlineStr">
        <is>
          <t>27 December 2027</t>
        </is>
      </c>
      <c r="H261" s="15" t="inlineStr"/>
      <c r="I261" s="15" t="inlineStr"/>
      <c r="J261" s="15" t="inlineStr">
        <is>
          <t>public_holiday:24:holiday_date</t>
        </is>
      </c>
    </row>
    <row r="262">
      <c r="A262" s="14" t="inlineStr">
        <is>
          <t>Public Holidays Act 36 of 1994</t>
        </is>
      </c>
      <c r="B262" s="14" t="inlineStr">
        <is>
          <t>s2(1)</t>
        </is>
      </c>
      <c r="C262" s="15" t="inlineStr"/>
      <c r="D262" s="15" t="inlineStr">
        <is>
          <t>REF-2026.03.01-r2</t>
        </is>
      </c>
      <c r="E262" s="15" t="inlineStr">
        <is>
          <t>public_holiday</t>
        </is>
      </c>
      <c r="F262" s="14" t="inlineStr">
        <is>
          <t>Public holiday — Day of Goodwill, 27 December 2027 — is statutory</t>
        </is>
      </c>
      <c r="G262" s="15" t="inlineStr">
        <is>
          <t>Yes</t>
        </is>
      </c>
      <c r="H262" s="15" t="inlineStr"/>
      <c r="I262" s="15" t="inlineStr"/>
      <c r="J262" s="15" t="inlineStr">
        <is>
          <t>public_holiday:24:is_statutory</t>
        </is>
      </c>
    </row>
    <row r="263">
      <c r="A263" s="14" t="inlineStr">
        <is>
          <t>Public Holidays Act 36 of 1994</t>
        </is>
      </c>
      <c r="B263" s="14" t="inlineStr">
        <is>
          <t>s2(1)</t>
        </is>
      </c>
      <c r="C263" s="15" t="inlineStr"/>
      <c r="D263" s="15" t="inlineStr">
        <is>
          <t>REF-2026.03.01-r2</t>
        </is>
      </c>
      <c r="E263" s="15" t="inlineStr">
        <is>
          <t>public_holiday</t>
        </is>
      </c>
      <c r="F263" s="14" t="inlineStr">
        <is>
          <t>Public holiday — Day of Goodwill, 27 December 2027 — name</t>
        </is>
      </c>
      <c r="G263" s="15" t="inlineStr">
        <is>
          <t>Day of Goodwill</t>
        </is>
      </c>
      <c r="H263" s="15" t="inlineStr"/>
      <c r="I263" s="15" t="inlineStr"/>
      <c r="J263" s="15" t="inlineStr">
        <is>
          <t>public_holiday:24:name</t>
        </is>
      </c>
    </row>
    <row r="264">
      <c r="A264" s="14" t="inlineStr">
        <is>
          <t>Public Holidays Act 36 of 1994</t>
        </is>
      </c>
      <c r="B264" s="14" t="inlineStr">
        <is>
          <t>s2(1)</t>
        </is>
      </c>
      <c r="C264" s="15" t="inlineStr"/>
      <c r="D264" s="15" t="inlineStr">
        <is>
          <t>REF-2026.03.01-r2</t>
        </is>
      </c>
      <c r="E264" s="15" t="inlineStr">
        <is>
          <t>public_holiday</t>
        </is>
      </c>
      <c r="F264" s="14" t="inlineStr">
        <is>
          <t>Public holiday — Day of Goodwill, 27 December 2027 — shifted from date</t>
        </is>
      </c>
      <c r="G264" s="15" t="inlineStr">
        <is>
          <t>26 December 2027</t>
        </is>
      </c>
      <c r="H264" s="15" t="inlineStr"/>
      <c r="I264" s="15" t="inlineStr"/>
      <c r="J264" s="15" t="inlineStr">
        <is>
          <t>public_holiday:24:shifted_from_date</t>
        </is>
      </c>
    </row>
    <row r="265">
      <c r="A265" s="14" t="inlineStr">
        <is>
          <t>Public Holidays Act 36 of 1994</t>
        </is>
      </c>
      <c r="B265" s="14" t="inlineStr">
        <is>
          <t>s2(1)</t>
        </is>
      </c>
      <c r="C265" s="15" t="inlineStr"/>
      <c r="D265" s="15" t="inlineStr">
        <is>
          <t>REF-2026.03.01-r2</t>
        </is>
      </c>
      <c r="E265" s="15" t="inlineStr">
        <is>
          <t>public_holiday</t>
        </is>
      </c>
      <c r="F265" s="14" t="inlineStr">
        <is>
          <t>Public holiday — National Women's Day, 10 August 2026 — holiday date</t>
        </is>
      </c>
      <c r="G265" s="15" t="inlineStr">
        <is>
          <t>10 August 2026</t>
        </is>
      </c>
      <c r="H265" s="15" t="inlineStr"/>
      <c r="I265" s="15" t="inlineStr"/>
      <c r="J265" s="15" t="inlineStr">
        <is>
          <t>public_holiday:8:holiday_date</t>
        </is>
      </c>
    </row>
    <row r="266">
      <c r="A266" s="14" t="inlineStr">
        <is>
          <t>Public Holidays Act 36 of 1994</t>
        </is>
      </c>
      <c r="B266" s="14" t="inlineStr">
        <is>
          <t>s2(1)</t>
        </is>
      </c>
      <c r="C266" s="15" t="inlineStr"/>
      <c r="D266" s="15" t="inlineStr">
        <is>
          <t>REF-2026.03.01-r2</t>
        </is>
      </c>
      <c r="E266" s="15" t="inlineStr">
        <is>
          <t>public_holiday</t>
        </is>
      </c>
      <c r="F266" s="14" t="inlineStr">
        <is>
          <t>Public holiday — National Women's Day, 10 August 2026 — is statutory</t>
        </is>
      </c>
      <c r="G266" s="15" t="inlineStr">
        <is>
          <t>Yes</t>
        </is>
      </c>
      <c r="H266" s="15" t="inlineStr"/>
      <c r="I266" s="15" t="inlineStr"/>
      <c r="J266" s="15" t="inlineStr">
        <is>
          <t>public_holiday:8:is_statutory</t>
        </is>
      </c>
    </row>
    <row r="267">
      <c r="A267" s="14" t="inlineStr">
        <is>
          <t>Public Holidays Act 36 of 1994</t>
        </is>
      </c>
      <c r="B267" s="14" t="inlineStr">
        <is>
          <t>s2(1)</t>
        </is>
      </c>
      <c r="C267" s="15" t="inlineStr"/>
      <c r="D267" s="15" t="inlineStr">
        <is>
          <t>REF-2026.03.01-r2</t>
        </is>
      </c>
      <c r="E267" s="15" t="inlineStr">
        <is>
          <t>public_holiday</t>
        </is>
      </c>
      <c r="F267" s="14" t="inlineStr">
        <is>
          <t>Public holiday — National Women's Day, 10 August 2026 — name</t>
        </is>
      </c>
      <c r="G267" s="15" t="inlineStr">
        <is>
          <t>National Women's Day</t>
        </is>
      </c>
      <c r="H267" s="15" t="inlineStr"/>
      <c r="I267" s="15" t="inlineStr"/>
      <c r="J267" s="15" t="inlineStr">
        <is>
          <t>public_holiday:8:name</t>
        </is>
      </c>
    </row>
    <row r="268">
      <c r="A268" s="14" t="inlineStr">
        <is>
          <t>Public Holidays Act 36 of 1994</t>
        </is>
      </c>
      <c r="B268" s="14" t="inlineStr">
        <is>
          <t>s2(1)</t>
        </is>
      </c>
      <c r="C268" s="15" t="inlineStr"/>
      <c r="D268" s="15" t="inlineStr">
        <is>
          <t>REF-2026.03.01-r2</t>
        </is>
      </c>
      <c r="E268" s="15" t="inlineStr">
        <is>
          <t>public_holiday</t>
        </is>
      </c>
      <c r="F268" s="14" t="inlineStr">
        <is>
          <t>Public holiday — National Women's Day, 10 August 2026 — shifted from date</t>
        </is>
      </c>
      <c r="G268" s="15" t="inlineStr">
        <is>
          <t>09 August 2026</t>
        </is>
      </c>
      <c r="H268" s="15" t="inlineStr"/>
      <c r="I268" s="15" t="inlineStr"/>
      <c r="J268" s="15" t="inlineStr">
        <is>
          <t>public_holiday:8:shifted_from_date</t>
        </is>
      </c>
    </row>
    <row r="269">
      <c r="A269" s="10" t="inlineStr">
        <is>
          <t>SARS Guide for Codes Applicable to Employees Tax Certificates (PAYE-AE-06-G06), 2026 issue</t>
        </is>
      </c>
      <c r="B269" s="10" t="inlineStr"/>
      <c r="C269" s="16" t="inlineStr">
        <is>
          <t>https://www.sars.gov.za/wp-content/uploads/Ops/Guides/PAYE-AE-06-G06-Guide-for-Codes-Applicable-to-Employees-Tax-Certificates-2026-External-Guide.pdf</t>
        </is>
      </c>
      <c r="D269" s="11" t="inlineStr">
        <is>
          <t>REF-2026.03.01-CODES</t>
        </is>
      </c>
      <c r="E269" s="11" t="inlineStr">
        <is>
          <t>sars_source_code</t>
        </is>
      </c>
      <c r="F269" s="10" t="inlineStr">
        <is>
          <t>SARS source code 3696 — Gross non-taxable income — code group</t>
        </is>
      </c>
      <c r="G269" s="11" t="inlineStr">
        <is>
          <t>Total</t>
        </is>
      </c>
      <c r="H269" s="11" t="inlineStr"/>
      <c r="I269" s="11" t="inlineStr"/>
      <c r="J269" s="11" t="inlineStr">
        <is>
          <t>sars_source_code:10:code_group</t>
        </is>
      </c>
      <c r="K269" s="13" t="n"/>
      <c r="L269" s="13" t="n"/>
      <c r="M269" s="13" t="n"/>
      <c r="N269" s="13" t="n"/>
    </row>
    <row r="270">
      <c r="A270" s="14" t="inlineStr">
        <is>
          <t>SARS Guide for Codes Applicable to Employees Tax Certificates (PAYE-AE-06-G06), 2026 issue</t>
        </is>
      </c>
      <c r="B270" s="14" t="inlineStr"/>
      <c r="C270" s="17" t="inlineStr">
        <is>
          <t>https://www.sars.gov.za/wp-content/uploads/Ops/Guides/PAYE-AE-06-G06-Guide-for-Codes-Applicable-to-Employees-Tax-Certificates-2026-External-Guide.pdf</t>
        </is>
      </c>
      <c r="D270" s="15" t="inlineStr">
        <is>
          <t>REF-2026.03.01-CODES</t>
        </is>
      </c>
      <c r="E270" s="15" t="inlineStr">
        <is>
          <t>sars_source_code</t>
        </is>
      </c>
      <c r="F270" s="14" t="inlineStr">
        <is>
          <t>SARS source code 3696 — Gross non-taxable income — description</t>
        </is>
      </c>
      <c r="G270" s="15" t="inlineStr">
        <is>
          <t>Gross non-taxable income</t>
        </is>
      </c>
      <c r="H270" s="15" t="inlineStr"/>
      <c r="I270" s="15" t="inlineStr"/>
      <c r="J270" s="15" t="inlineStr">
        <is>
          <t>sars_source_code:10:description</t>
        </is>
      </c>
    </row>
    <row r="271">
      <c r="A271" s="14" t="inlineStr">
        <is>
          <t>SARS Guide for Codes Applicable to Employees Tax Certificates (PAYE-AE-06-G06), 2026 issue</t>
        </is>
      </c>
      <c r="B271" s="14" t="inlineStr"/>
      <c r="C271" s="17" t="inlineStr">
        <is>
          <t>https://www.sars.gov.za/wp-content/uploads/Ops/Guides/PAYE-AE-06-G06-Guide-for-Codes-Applicable-to-Employees-Tax-Certificates-2026-External-Guide.pdf</t>
        </is>
      </c>
      <c r="D271" s="15" t="inlineStr">
        <is>
          <t>REF-2026.03.01-CODES</t>
        </is>
      </c>
      <c r="E271" s="15" t="inlineStr">
        <is>
          <t>sars_source_code</t>
        </is>
      </c>
      <c r="F271" s="14" t="inlineStr">
        <is>
          <t>SARS source code 3696 — Gross non-taxable income — is coida remuneration</t>
        </is>
      </c>
      <c r="G271" s="15" t="inlineStr">
        <is>
          <t>No</t>
        </is>
      </c>
      <c r="H271" s="15" t="inlineStr"/>
      <c r="I271" s="15" t="inlineStr"/>
      <c r="J271" s="15" t="inlineStr">
        <is>
          <t>sars_source_code:10:is_coida_remuneration</t>
        </is>
      </c>
    </row>
    <row r="272">
      <c r="A272" s="14" t="inlineStr">
        <is>
          <t>SARS Guide for Codes Applicable to Employees Tax Certificates (PAYE-AE-06-G06), 2026 issue</t>
        </is>
      </c>
      <c r="B272" s="14" t="inlineStr"/>
      <c r="C272" s="17" t="inlineStr">
        <is>
          <t>https://www.sars.gov.za/wp-content/uploads/Ops/Guides/PAYE-AE-06-G06-Guide-for-Codes-Applicable-to-Employees-Tax-Certificates-2026-External-Guide.pdf</t>
        </is>
      </c>
      <c r="D272" s="15" t="inlineStr">
        <is>
          <t>REF-2026.03.01-CODES</t>
        </is>
      </c>
      <c r="E272" s="15" t="inlineStr">
        <is>
          <t>sars_source_code</t>
        </is>
      </c>
      <c r="F272" s="14" t="inlineStr">
        <is>
          <t>SARS source code 3696 — Gross non-taxable income — is sdl remuneration</t>
        </is>
      </c>
      <c r="G272" s="15" t="inlineStr">
        <is>
          <t>No</t>
        </is>
      </c>
      <c r="H272" s="15" t="inlineStr"/>
      <c r="I272" s="15" t="inlineStr"/>
      <c r="J272" s="15" t="inlineStr">
        <is>
          <t>sars_source_code:10:is_sdl_remuneration</t>
        </is>
      </c>
    </row>
    <row r="273">
      <c r="A273" s="14" t="inlineStr">
        <is>
          <t>SARS Guide for Codes Applicable to Employees Tax Certificates (PAYE-AE-06-G06), 2026 issue</t>
        </is>
      </c>
      <c r="B273" s="14" t="inlineStr"/>
      <c r="C273" s="17" t="inlineStr">
        <is>
          <t>https://www.sars.gov.za/wp-content/uploads/Ops/Guides/PAYE-AE-06-G06-Guide-for-Codes-Applicable-to-Employees-Tax-Certificates-2026-External-Guide.pdf</t>
        </is>
      </c>
      <c r="D273" s="15" t="inlineStr">
        <is>
          <t>REF-2026.03.01-CODES</t>
        </is>
      </c>
      <c r="E273" s="15" t="inlineStr">
        <is>
          <t>sars_source_code</t>
        </is>
      </c>
      <c r="F273" s="14" t="inlineStr">
        <is>
          <t>SARS source code 3696 — Gross non-taxable income — is taxable</t>
        </is>
      </c>
      <c r="G273" s="15" t="inlineStr">
        <is>
          <t>No</t>
        </is>
      </c>
      <c r="H273" s="15" t="inlineStr"/>
      <c r="I273" s="15" t="inlineStr"/>
      <c r="J273" s="15" t="inlineStr">
        <is>
          <t>sars_source_code:10:is_taxable</t>
        </is>
      </c>
    </row>
    <row r="274">
      <c r="A274" s="14" t="inlineStr">
        <is>
          <t>SARS Guide for Codes Applicable to Employees Tax Certificates (PAYE-AE-06-G06), 2026 issue</t>
        </is>
      </c>
      <c r="B274" s="14" t="inlineStr"/>
      <c r="C274" s="17" t="inlineStr">
        <is>
          <t>https://www.sars.gov.za/wp-content/uploads/Ops/Guides/PAYE-AE-06-G06-Guide-for-Codes-Applicable-to-Employees-Tax-Certificates-2026-External-Guide.pdf</t>
        </is>
      </c>
      <c r="D274" s="15" t="inlineStr">
        <is>
          <t>REF-2026.03.01-CODES</t>
        </is>
      </c>
      <c r="E274" s="15" t="inlineStr">
        <is>
          <t>sars_source_code</t>
        </is>
      </c>
      <c r="F274" s="14" t="inlineStr">
        <is>
          <t>SARS source code 3696 — Gross non-taxable income — is uif remuneration</t>
        </is>
      </c>
      <c r="G274" s="15" t="inlineStr">
        <is>
          <t>No</t>
        </is>
      </c>
      <c r="H274" s="15" t="inlineStr"/>
      <c r="I274" s="15" t="inlineStr"/>
      <c r="J274" s="15" t="inlineStr">
        <is>
          <t>sars_source_code:10:is_uif_remuneration</t>
        </is>
      </c>
    </row>
    <row r="275">
      <c r="A275" s="14" t="inlineStr">
        <is>
          <t>SARS Guide for Codes Applicable to Employees Tax Certificates (PAYE-AE-06-G06), 2026 issue</t>
        </is>
      </c>
      <c r="B275" s="14" t="inlineStr"/>
      <c r="C275" s="17" t="inlineStr">
        <is>
          <t>https://www.sars.gov.za/wp-content/uploads/Ops/Guides/PAYE-AE-06-G06-Guide-for-Codes-Applicable-to-Employees-Tax-Certificates-2026-External-Guide.pdf</t>
        </is>
      </c>
      <c r="D275" s="15" t="inlineStr">
        <is>
          <t>REF-2026.03.01-CODES</t>
        </is>
      </c>
      <c r="E275" s="15" t="inlineStr">
        <is>
          <t>sars_source_code</t>
        </is>
      </c>
      <c r="F275" s="14" t="inlineStr">
        <is>
          <t>SARS source code 3699 — Gross employment income (taxable) — code group</t>
        </is>
      </c>
      <c r="G275" s="15" t="inlineStr">
        <is>
          <t>Total</t>
        </is>
      </c>
      <c r="H275" s="15" t="inlineStr"/>
      <c r="I275" s="15" t="inlineStr"/>
      <c r="J275" s="15" t="inlineStr">
        <is>
          <t>sars_source_code:11:code_group</t>
        </is>
      </c>
    </row>
    <row r="276">
      <c r="A276" s="14" t="inlineStr">
        <is>
          <t>SARS Guide for Codes Applicable to Employees Tax Certificates (PAYE-AE-06-G06), 2026 issue</t>
        </is>
      </c>
      <c r="B276" s="14" t="inlineStr"/>
      <c r="C276" s="17" t="inlineStr">
        <is>
          <t>https://www.sars.gov.za/wp-content/uploads/Ops/Guides/PAYE-AE-06-G06-Guide-for-Codes-Applicable-to-Employees-Tax-Certificates-2026-External-Guide.pdf</t>
        </is>
      </c>
      <c r="D276" s="15" t="inlineStr">
        <is>
          <t>REF-2026.03.01-CODES</t>
        </is>
      </c>
      <c r="E276" s="15" t="inlineStr">
        <is>
          <t>sars_source_code</t>
        </is>
      </c>
      <c r="F276" s="14" t="inlineStr">
        <is>
          <t>SARS source code 3699 — Gross employment income (taxable) — description</t>
        </is>
      </c>
      <c r="G276" s="15" t="inlineStr">
        <is>
          <t>Gross employment income (taxable)</t>
        </is>
      </c>
      <c r="H276" s="15" t="inlineStr"/>
      <c r="I276" s="15" t="inlineStr"/>
      <c r="J276" s="15" t="inlineStr">
        <is>
          <t>sars_source_code:11:description</t>
        </is>
      </c>
    </row>
    <row r="277">
      <c r="A277" s="14" t="inlineStr">
        <is>
          <t>SARS Guide for Codes Applicable to Employees Tax Certificates (PAYE-AE-06-G06), 2026 issue</t>
        </is>
      </c>
      <c r="B277" s="14" t="inlineStr"/>
      <c r="C277" s="17" t="inlineStr">
        <is>
          <t>https://www.sars.gov.za/wp-content/uploads/Ops/Guides/PAYE-AE-06-G06-Guide-for-Codes-Applicable-to-Employees-Tax-Certificates-2026-External-Guide.pdf</t>
        </is>
      </c>
      <c r="D277" s="15" t="inlineStr">
        <is>
          <t>REF-2026.03.01-CODES</t>
        </is>
      </c>
      <c r="E277" s="15" t="inlineStr">
        <is>
          <t>sars_source_code</t>
        </is>
      </c>
      <c r="F277" s="14" t="inlineStr">
        <is>
          <t>SARS source code 3699 — Gross employment income (taxable) — is coida remuneration</t>
        </is>
      </c>
      <c r="G277" s="15" t="inlineStr">
        <is>
          <t>No</t>
        </is>
      </c>
      <c r="H277" s="15" t="inlineStr"/>
      <c r="I277" s="15" t="inlineStr"/>
      <c r="J277" s="15" t="inlineStr">
        <is>
          <t>sars_source_code:11:is_coida_remuneration</t>
        </is>
      </c>
    </row>
    <row r="278">
      <c r="A278" s="14" t="inlineStr">
        <is>
          <t>SARS Guide for Codes Applicable to Employees Tax Certificates (PAYE-AE-06-G06), 2026 issue</t>
        </is>
      </c>
      <c r="B278" s="14" t="inlineStr"/>
      <c r="C278" s="17" t="inlineStr">
        <is>
          <t>https://www.sars.gov.za/wp-content/uploads/Ops/Guides/PAYE-AE-06-G06-Guide-for-Codes-Applicable-to-Employees-Tax-Certificates-2026-External-Guide.pdf</t>
        </is>
      </c>
      <c r="D278" s="15" t="inlineStr">
        <is>
          <t>REF-2026.03.01-CODES</t>
        </is>
      </c>
      <c r="E278" s="15" t="inlineStr">
        <is>
          <t>sars_source_code</t>
        </is>
      </c>
      <c r="F278" s="14" t="inlineStr">
        <is>
          <t>SARS source code 3699 — Gross employment income (taxable) — is sdl remuneration</t>
        </is>
      </c>
      <c r="G278" s="15" t="inlineStr">
        <is>
          <t>No</t>
        </is>
      </c>
      <c r="H278" s="15" t="inlineStr"/>
      <c r="I278" s="15" t="inlineStr"/>
      <c r="J278" s="15" t="inlineStr">
        <is>
          <t>sars_source_code:11:is_sdl_remuneration</t>
        </is>
      </c>
    </row>
    <row r="279">
      <c r="A279" s="14" t="inlineStr">
        <is>
          <t>SARS Guide for Codes Applicable to Employees Tax Certificates (PAYE-AE-06-G06), 2026 issue</t>
        </is>
      </c>
      <c r="B279" s="14" t="inlineStr"/>
      <c r="C279" s="17" t="inlineStr">
        <is>
          <t>https://www.sars.gov.za/wp-content/uploads/Ops/Guides/PAYE-AE-06-G06-Guide-for-Codes-Applicable-to-Employees-Tax-Certificates-2026-External-Guide.pdf</t>
        </is>
      </c>
      <c r="D279" s="15" t="inlineStr">
        <is>
          <t>REF-2026.03.01-CODES</t>
        </is>
      </c>
      <c r="E279" s="15" t="inlineStr">
        <is>
          <t>sars_source_code</t>
        </is>
      </c>
      <c r="F279" s="14" t="inlineStr">
        <is>
          <t>SARS source code 3699 — Gross employment income (taxable) — is taxable</t>
        </is>
      </c>
      <c r="G279" s="15" t="inlineStr">
        <is>
          <t>No</t>
        </is>
      </c>
      <c r="H279" s="15" t="inlineStr"/>
      <c r="I279" s="15" t="inlineStr"/>
      <c r="J279" s="15" t="inlineStr">
        <is>
          <t>sars_source_code:11:is_taxable</t>
        </is>
      </c>
    </row>
    <row r="280">
      <c r="A280" s="14" t="inlineStr">
        <is>
          <t>SARS Guide for Codes Applicable to Employees Tax Certificates (PAYE-AE-06-G06), 2026 issue</t>
        </is>
      </c>
      <c r="B280" s="14" t="inlineStr"/>
      <c r="C280" s="17" t="inlineStr">
        <is>
          <t>https://www.sars.gov.za/wp-content/uploads/Ops/Guides/PAYE-AE-06-G06-Guide-for-Codes-Applicable-to-Employees-Tax-Certificates-2026-External-Guide.pdf</t>
        </is>
      </c>
      <c r="D280" s="15" t="inlineStr">
        <is>
          <t>REF-2026.03.01-CODES</t>
        </is>
      </c>
      <c r="E280" s="15" t="inlineStr">
        <is>
          <t>sars_source_code</t>
        </is>
      </c>
      <c r="F280" s="14" t="inlineStr">
        <is>
          <t>SARS source code 3699 — Gross employment income (taxable) — is uif remuneration</t>
        </is>
      </c>
      <c r="G280" s="15" t="inlineStr">
        <is>
          <t>No</t>
        </is>
      </c>
      <c r="H280" s="15" t="inlineStr"/>
      <c r="I280" s="15" t="inlineStr"/>
      <c r="J280" s="15" t="inlineStr">
        <is>
          <t>sars_source_code:11:is_uif_remuneration</t>
        </is>
      </c>
    </row>
    <row r="281">
      <c r="A281" s="14" t="inlineStr">
        <is>
          <t>SARS Guide for Codes Applicable to Employees Tax Certificates (PAYE-AE-06-G06), 2026 issue</t>
        </is>
      </c>
      <c r="B281" s="14" t="inlineStr"/>
      <c r="C281" s="17" t="inlineStr">
        <is>
          <t>https://www.sars.gov.za/wp-content/uploads/Ops/Guides/PAYE-AE-06-G06-Guide-for-Codes-Applicable-to-Employees-Tax-Certificates-2026-External-Guide.pdf</t>
        </is>
      </c>
      <c r="D281" s="15" t="inlineStr">
        <is>
          <t>REF-2026.03.01-CODES</t>
        </is>
      </c>
      <c r="E281" s="15" t="inlineStr">
        <is>
          <t>sars_source_code</t>
        </is>
      </c>
      <c r="F281" s="14" t="inlineStr">
        <is>
          <t>SARS source code 4001 — Current pension fund contributions — code group</t>
        </is>
      </c>
      <c r="G281" s="15" t="inlineStr">
        <is>
          <t>Deduction</t>
        </is>
      </c>
      <c r="H281" s="15" t="inlineStr"/>
      <c r="I281" s="15" t="inlineStr"/>
      <c r="J281" s="15" t="inlineStr">
        <is>
          <t>sars_source_code:12:code_group</t>
        </is>
      </c>
    </row>
    <row r="282">
      <c r="A282" s="14" t="inlineStr">
        <is>
          <t>SARS Guide for Codes Applicable to Employees Tax Certificates (PAYE-AE-06-G06), 2026 issue</t>
        </is>
      </c>
      <c r="B282" s="14" t="inlineStr"/>
      <c r="C282" s="17" t="inlineStr">
        <is>
          <t>https://www.sars.gov.za/wp-content/uploads/Ops/Guides/PAYE-AE-06-G06-Guide-for-Codes-Applicable-to-Employees-Tax-Certificates-2026-External-Guide.pdf</t>
        </is>
      </c>
      <c r="D282" s="15" t="inlineStr">
        <is>
          <t>REF-2026.03.01-CODES</t>
        </is>
      </c>
      <c r="E282" s="15" t="inlineStr">
        <is>
          <t>sars_source_code</t>
        </is>
      </c>
      <c r="F282" s="14" t="inlineStr">
        <is>
          <t>SARS source code 4001 — Current pension fund contributions — description</t>
        </is>
      </c>
      <c r="G282" s="15" t="inlineStr">
        <is>
          <t>Current pension fund contributions</t>
        </is>
      </c>
      <c r="H282" s="15" t="inlineStr"/>
      <c r="I282" s="15" t="inlineStr"/>
      <c r="J282" s="15" t="inlineStr">
        <is>
          <t>sars_source_code:12:description</t>
        </is>
      </c>
    </row>
    <row r="283">
      <c r="A283" s="14" t="inlineStr">
        <is>
          <t>SARS Guide for Codes Applicable to Employees Tax Certificates (PAYE-AE-06-G06), 2026 issue</t>
        </is>
      </c>
      <c r="B283" s="14" t="inlineStr"/>
      <c r="C283" s="17" t="inlineStr">
        <is>
          <t>https://www.sars.gov.za/wp-content/uploads/Ops/Guides/PAYE-AE-06-G06-Guide-for-Codes-Applicable-to-Employees-Tax-Certificates-2026-External-Guide.pdf</t>
        </is>
      </c>
      <c r="D283" s="15" t="inlineStr">
        <is>
          <t>REF-2026.03.01-CODES</t>
        </is>
      </c>
      <c r="E283" s="15" t="inlineStr">
        <is>
          <t>sars_source_code</t>
        </is>
      </c>
      <c r="F283" s="14" t="inlineStr">
        <is>
          <t>SARS source code 4001 — Current pension fund contributions — is coida remuneration</t>
        </is>
      </c>
      <c r="G283" s="15" t="inlineStr">
        <is>
          <t>No</t>
        </is>
      </c>
      <c r="H283" s="15" t="inlineStr"/>
      <c r="I283" s="15" t="inlineStr"/>
      <c r="J283" s="15" t="inlineStr">
        <is>
          <t>sars_source_code:12:is_coida_remuneration</t>
        </is>
      </c>
    </row>
    <row r="284">
      <c r="A284" s="14" t="inlineStr">
        <is>
          <t>SARS Guide for Codes Applicable to Employees Tax Certificates (PAYE-AE-06-G06), 2026 issue</t>
        </is>
      </c>
      <c r="B284" s="14" t="inlineStr"/>
      <c r="C284" s="17" t="inlineStr">
        <is>
          <t>https://www.sars.gov.za/wp-content/uploads/Ops/Guides/PAYE-AE-06-G06-Guide-for-Codes-Applicable-to-Employees-Tax-Certificates-2026-External-Guide.pdf</t>
        </is>
      </c>
      <c r="D284" s="15" t="inlineStr">
        <is>
          <t>REF-2026.03.01-CODES</t>
        </is>
      </c>
      <c r="E284" s="15" t="inlineStr">
        <is>
          <t>sars_source_code</t>
        </is>
      </c>
      <c r="F284" s="14" t="inlineStr">
        <is>
          <t>SARS source code 4001 — Current pension fund contributions — is sdl remuneration</t>
        </is>
      </c>
      <c r="G284" s="15" t="inlineStr">
        <is>
          <t>No</t>
        </is>
      </c>
      <c r="H284" s="15" t="inlineStr"/>
      <c r="I284" s="15" t="inlineStr"/>
      <c r="J284" s="15" t="inlineStr">
        <is>
          <t>sars_source_code:12:is_sdl_remuneration</t>
        </is>
      </c>
    </row>
    <row r="285">
      <c r="A285" s="14" t="inlineStr">
        <is>
          <t>SARS Guide for Codes Applicable to Employees Tax Certificates (PAYE-AE-06-G06), 2026 issue</t>
        </is>
      </c>
      <c r="B285" s="14" t="inlineStr"/>
      <c r="C285" s="17" t="inlineStr">
        <is>
          <t>https://www.sars.gov.za/wp-content/uploads/Ops/Guides/PAYE-AE-06-G06-Guide-for-Codes-Applicable-to-Employees-Tax-Certificates-2026-External-Guide.pdf</t>
        </is>
      </c>
      <c r="D285" s="15" t="inlineStr">
        <is>
          <t>REF-2026.03.01-CODES</t>
        </is>
      </c>
      <c r="E285" s="15" t="inlineStr">
        <is>
          <t>sars_source_code</t>
        </is>
      </c>
      <c r="F285" s="14" t="inlineStr">
        <is>
          <t>SARS source code 4001 — Current pension fund contributions — is taxable</t>
        </is>
      </c>
      <c r="G285" s="15" t="inlineStr">
        <is>
          <t>No</t>
        </is>
      </c>
      <c r="H285" s="15" t="inlineStr"/>
      <c r="I285" s="15" t="inlineStr"/>
      <c r="J285" s="15" t="inlineStr">
        <is>
          <t>sars_source_code:12:is_taxable</t>
        </is>
      </c>
    </row>
    <row r="286">
      <c r="A286" s="14" t="inlineStr">
        <is>
          <t>SARS Guide for Codes Applicable to Employees Tax Certificates (PAYE-AE-06-G06), 2026 issue</t>
        </is>
      </c>
      <c r="B286" s="14" t="inlineStr"/>
      <c r="C286" s="17" t="inlineStr">
        <is>
          <t>https://www.sars.gov.za/wp-content/uploads/Ops/Guides/PAYE-AE-06-G06-Guide-for-Codes-Applicable-to-Employees-Tax-Certificates-2026-External-Guide.pdf</t>
        </is>
      </c>
      <c r="D286" s="15" t="inlineStr">
        <is>
          <t>REF-2026.03.01-CODES</t>
        </is>
      </c>
      <c r="E286" s="15" t="inlineStr">
        <is>
          <t>sars_source_code</t>
        </is>
      </c>
      <c r="F286" s="14" t="inlineStr">
        <is>
          <t>SARS source code 4001 — Current pension fund contributions — is uif remuneration</t>
        </is>
      </c>
      <c r="G286" s="15" t="inlineStr">
        <is>
          <t>No</t>
        </is>
      </c>
      <c r="H286" s="15" t="inlineStr"/>
      <c r="I286" s="15" t="inlineStr"/>
      <c r="J286" s="15" t="inlineStr">
        <is>
          <t>sars_source_code:12:is_uif_remuneration</t>
        </is>
      </c>
    </row>
    <row r="287">
      <c r="A287" s="14" t="inlineStr">
        <is>
          <t>SARS Guide for Codes Applicable to Employees Tax Certificates (PAYE-AE-06-G06), 2026 issue</t>
        </is>
      </c>
      <c r="B287" s="14" t="inlineStr"/>
      <c r="C287" s="17" t="inlineStr">
        <is>
          <t>https://www.sars.gov.za/wp-content/uploads/Ops/Guides/PAYE-AE-06-G06-Guide-for-Codes-Applicable-to-Employees-Tax-Certificates-2026-External-Guide.pdf</t>
        </is>
      </c>
      <c r="D287" s="15" t="inlineStr">
        <is>
          <t>REF-2026.03.01-CODES</t>
        </is>
      </c>
      <c r="E287" s="15" t="inlineStr">
        <is>
          <t>sars_source_code</t>
        </is>
      </c>
      <c r="F287" s="14" t="inlineStr">
        <is>
          <t>SARS source code 4003 — Current and arrear provident fund contributions — code group</t>
        </is>
      </c>
      <c r="G287" s="15" t="inlineStr">
        <is>
          <t>Deduction</t>
        </is>
      </c>
      <c r="H287" s="15" t="inlineStr"/>
      <c r="I287" s="15" t="inlineStr"/>
      <c r="J287" s="15" t="inlineStr">
        <is>
          <t>sars_source_code:13:code_group</t>
        </is>
      </c>
    </row>
    <row r="288">
      <c r="A288" s="14" t="inlineStr">
        <is>
          <t>SARS Guide for Codes Applicable to Employees Tax Certificates (PAYE-AE-06-G06), 2026 issue</t>
        </is>
      </c>
      <c r="B288" s="14" t="inlineStr"/>
      <c r="C288" s="17" t="inlineStr">
        <is>
          <t>https://www.sars.gov.za/wp-content/uploads/Ops/Guides/PAYE-AE-06-G06-Guide-for-Codes-Applicable-to-Employees-Tax-Certificates-2026-External-Guide.pdf</t>
        </is>
      </c>
      <c r="D288" s="15" t="inlineStr">
        <is>
          <t>REF-2026.03.01-CODES</t>
        </is>
      </c>
      <c r="E288" s="15" t="inlineStr">
        <is>
          <t>sars_source_code</t>
        </is>
      </c>
      <c r="F288" s="14" t="inlineStr">
        <is>
          <t>SARS source code 4003 — Current and arrear provident fund contributions — description</t>
        </is>
      </c>
      <c r="G288" s="15" t="inlineStr">
        <is>
          <t>Current and arrear provident fund contributions</t>
        </is>
      </c>
      <c r="H288" s="15" t="inlineStr"/>
      <c r="I288" s="15" t="inlineStr"/>
      <c r="J288" s="15" t="inlineStr">
        <is>
          <t>sars_source_code:13:description</t>
        </is>
      </c>
    </row>
    <row r="289">
      <c r="A289" s="14" t="inlineStr">
        <is>
          <t>SARS Guide for Codes Applicable to Employees Tax Certificates (PAYE-AE-06-G06), 2026 issue</t>
        </is>
      </c>
      <c r="B289" s="14" t="inlineStr"/>
      <c r="C289" s="17" t="inlineStr">
        <is>
          <t>https://www.sars.gov.za/wp-content/uploads/Ops/Guides/PAYE-AE-06-G06-Guide-for-Codes-Applicable-to-Employees-Tax-Certificates-2026-External-Guide.pdf</t>
        </is>
      </c>
      <c r="D289" s="15" t="inlineStr">
        <is>
          <t>REF-2026.03.01-CODES</t>
        </is>
      </c>
      <c r="E289" s="15" t="inlineStr">
        <is>
          <t>sars_source_code</t>
        </is>
      </c>
      <c r="F289" s="14" t="inlineStr">
        <is>
          <t>SARS source code 4003 — Current and arrear provident fund contributions — is coida remuneration</t>
        </is>
      </c>
      <c r="G289" s="15" t="inlineStr">
        <is>
          <t>No</t>
        </is>
      </c>
      <c r="H289" s="15" t="inlineStr"/>
      <c r="I289" s="15" t="inlineStr"/>
      <c r="J289" s="15" t="inlineStr">
        <is>
          <t>sars_source_code:13:is_coida_remuneration</t>
        </is>
      </c>
    </row>
    <row r="290">
      <c r="A290" s="14" t="inlineStr">
        <is>
          <t>SARS Guide for Codes Applicable to Employees Tax Certificates (PAYE-AE-06-G06), 2026 issue</t>
        </is>
      </c>
      <c r="B290" s="14" t="inlineStr"/>
      <c r="C290" s="17" t="inlineStr">
        <is>
          <t>https://www.sars.gov.za/wp-content/uploads/Ops/Guides/PAYE-AE-06-G06-Guide-for-Codes-Applicable-to-Employees-Tax-Certificates-2026-External-Guide.pdf</t>
        </is>
      </c>
      <c r="D290" s="15" t="inlineStr">
        <is>
          <t>REF-2026.03.01-CODES</t>
        </is>
      </c>
      <c r="E290" s="15" t="inlineStr">
        <is>
          <t>sars_source_code</t>
        </is>
      </c>
      <c r="F290" s="14" t="inlineStr">
        <is>
          <t>SARS source code 4003 — Current and arrear provident fund contributions — is sdl remuneration</t>
        </is>
      </c>
      <c r="G290" s="15" t="inlineStr">
        <is>
          <t>No</t>
        </is>
      </c>
      <c r="H290" s="15" t="inlineStr"/>
      <c r="I290" s="15" t="inlineStr"/>
      <c r="J290" s="15" t="inlineStr">
        <is>
          <t>sars_source_code:13:is_sdl_remuneration</t>
        </is>
      </c>
    </row>
    <row r="291">
      <c r="A291" s="14" t="inlineStr">
        <is>
          <t>SARS Guide for Codes Applicable to Employees Tax Certificates (PAYE-AE-06-G06), 2026 issue</t>
        </is>
      </c>
      <c r="B291" s="14" t="inlineStr"/>
      <c r="C291" s="17" t="inlineStr">
        <is>
          <t>https://www.sars.gov.za/wp-content/uploads/Ops/Guides/PAYE-AE-06-G06-Guide-for-Codes-Applicable-to-Employees-Tax-Certificates-2026-External-Guide.pdf</t>
        </is>
      </c>
      <c r="D291" s="15" t="inlineStr">
        <is>
          <t>REF-2026.03.01-CODES</t>
        </is>
      </c>
      <c r="E291" s="15" t="inlineStr">
        <is>
          <t>sars_source_code</t>
        </is>
      </c>
      <c r="F291" s="14" t="inlineStr">
        <is>
          <t>SARS source code 4003 — Current and arrear provident fund contributions — is taxable</t>
        </is>
      </c>
      <c r="G291" s="15" t="inlineStr">
        <is>
          <t>No</t>
        </is>
      </c>
      <c r="H291" s="15" t="inlineStr"/>
      <c r="I291" s="15" t="inlineStr"/>
      <c r="J291" s="15" t="inlineStr">
        <is>
          <t>sars_source_code:13:is_taxable</t>
        </is>
      </c>
    </row>
    <row r="292">
      <c r="A292" s="14" t="inlineStr">
        <is>
          <t>SARS Guide for Codes Applicable to Employees Tax Certificates (PAYE-AE-06-G06), 2026 issue</t>
        </is>
      </c>
      <c r="B292" s="14" t="inlineStr"/>
      <c r="C292" s="17" t="inlineStr">
        <is>
          <t>https://www.sars.gov.za/wp-content/uploads/Ops/Guides/PAYE-AE-06-G06-Guide-for-Codes-Applicable-to-Employees-Tax-Certificates-2026-External-Guide.pdf</t>
        </is>
      </c>
      <c r="D292" s="15" t="inlineStr">
        <is>
          <t>REF-2026.03.01-CODES</t>
        </is>
      </c>
      <c r="E292" s="15" t="inlineStr">
        <is>
          <t>sars_source_code</t>
        </is>
      </c>
      <c r="F292" s="14" t="inlineStr">
        <is>
          <t>SARS source code 4003 — Current and arrear provident fund contributions — is uif remuneration</t>
        </is>
      </c>
      <c r="G292" s="15" t="inlineStr">
        <is>
          <t>No</t>
        </is>
      </c>
      <c r="H292" s="15" t="inlineStr"/>
      <c r="I292" s="15" t="inlineStr"/>
      <c r="J292" s="15" t="inlineStr">
        <is>
          <t>sars_source_code:13:is_uif_remuneration</t>
        </is>
      </c>
    </row>
    <row r="293">
      <c r="A293" s="14" t="inlineStr">
        <is>
          <t>SARS Guide for Codes Applicable to Employees Tax Certificates (PAYE-AE-06-G06), 2026 issue</t>
        </is>
      </c>
      <c r="B293" s="14" t="inlineStr"/>
      <c r="C293" s="17" t="inlineStr">
        <is>
          <t>https://www.sars.gov.za/wp-content/uploads/Ops/Guides/PAYE-AE-06-G06-Guide-for-Codes-Applicable-to-Employees-Tax-Certificates-2026-External-Guide.pdf</t>
        </is>
      </c>
      <c r="D293" s="15" t="inlineStr">
        <is>
          <t>REF-2026.03.01-CODES</t>
        </is>
      </c>
      <c r="E293" s="15" t="inlineStr">
        <is>
          <t>sars_source_code</t>
        </is>
      </c>
      <c r="F293" s="14" t="inlineStr">
        <is>
          <t>SARS source code 4005 — Medical scheme contributions (employee) — code group</t>
        </is>
      </c>
      <c r="G293" s="15" t="inlineStr">
        <is>
          <t>Deduction</t>
        </is>
      </c>
      <c r="H293" s="15" t="inlineStr"/>
      <c r="I293" s="15" t="inlineStr"/>
      <c r="J293" s="15" t="inlineStr">
        <is>
          <t>sars_source_code:14:code_group</t>
        </is>
      </c>
    </row>
    <row r="294">
      <c r="A294" s="14" t="inlineStr">
        <is>
          <t>SARS Guide for Codes Applicable to Employees Tax Certificates (PAYE-AE-06-G06), 2026 issue</t>
        </is>
      </c>
      <c r="B294" s="14" t="inlineStr"/>
      <c r="C294" s="17" t="inlineStr">
        <is>
          <t>https://www.sars.gov.za/wp-content/uploads/Ops/Guides/PAYE-AE-06-G06-Guide-for-Codes-Applicable-to-Employees-Tax-Certificates-2026-External-Guide.pdf</t>
        </is>
      </c>
      <c r="D294" s="15" t="inlineStr">
        <is>
          <t>REF-2026.03.01-CODES</t>
        </is>
      </c>
      <c r="E294" s="15" t="inlineStr">
        <is>
          <t>sars_source_code</t>
        </is>
      </c>
      <c r="F294" s="14" t="inlineStr">
        <is>
          <t>SARS source code 4005 — Medical scheme contributions (employee) — description</t>
        </is>
      </c>
      <c r="G294" s="15" t="inlineStr">
        <is>
          <t>Medical scheme contributions (employee)</t>
        </is>
      </c>
      <c r="H294" s="15" t="inlineStr"/>
      <c r="I294" s="15" t="inlineStr"/>
      <c r="J294" s="15" t="inlineStr">
        <is>
          <t>sars_source_code:14:description</t>
        </is>
      </c>
    </row>
    <row r="295">
      <c r="A295" s="14" t="inlineStr">
        <is>
          <t>SARS Guide for Codes Applicable to Employees Tax Certificates (PAYE-AE-06-G06), 2026 issue</t>
        </is>
      </c>
      <c r="B295" s="14" t="inlineStr"/>
      <c r="C295" s="17" t="inlineStr">
        <is>
          <t>https://www.sars.gov.za/wp-content/uploads/Ops/Guides/PAYE-AE-06-G06-Guide-for-Codes-Applicable-to-Employees-Tax-Certificates-2026-External-Guide.pdf</t>
        </is>
      </c>
      <c r="D295" s="15" t="inlineStr">
        <is>
          <t>REF-2026.03.01-CODES</t>
        </is>
      </c>
      <c r="E295" s="15" t="inlineStr">
        <is>
          <t>sars_source_code</t>
        </is>
      </c>
      <c r="F295" s="14" t="inlineStr">
        <is>
          <t>SARS source code 4005 — Medical scheme contributions (employee) — is coida remuneration</t>
        </is>
      </c>
      <c r="G295" s="15" t="inlineStr">
        <is>
          <t>No</t>
        </is>
      </c>
      <c r="H295" s="15" t="inlineStr"/>
      <c r="I295" s="15" t="inlineStr"/>
      <c r="J295" s="15" t="inlineStr">
        <is>
          <t>sars_source_code:14:is_coida_remuneration</t>
        </is>
      </c>
    </row>
    <row r="296">
      <c r="A296" s="14" t="inlineStr">
        <is>
          <t>SARS Guide for Codes Applicable to Employees Tax Certificates (PAYE-AE-06-G06), 2026 issue</t>
        </is>
      </c>
      <c r="B296" s="14" t="inlineStr"/>
      <c r="C296" s="17" t="inlineStr">
        <is>
          <t>https://www.sars.gov.za/wp-content/uploads/Ops/Guides/PAYE-AE-06-G06-Guide-for-Codes-Applicable-to-Employees-Tax-Certificates-2026-External-Guide.pdf</t>
        </is>
      </c>
      <c r="D296" s="15" t="inlineStr">
        <is>
          <t>REF-2026.03.01-CODES</t>
        </is>
      </c>
      <c r="E296" s="15" t="inlineStr">
        <is>
          <t>sars_source_code</t>
        </is>
      </c>
      <c r="F296" s="14" t="inlineStr">
        <is>
          <t>SARS source code 4005 — Medical scheme contributions (employee) — is sdl remuneration</t>
        </is>
      </c>
      <c r="G296" s="15" t="inlineStr">
        <is>
          <t>No</t>
        </is>
      </c>
      <c r="H296" s="15" t="inlineStr"/>
      <c r="I296" s="15" t="inlineStr"/>
      <c r="J296" s="15" t="inlineStr">
        <is>
          <t>sars_source_code:14:is_sdl_remuneration</t>
        </is>
      </c>
    </row>
    <row r="297">
      <c r="A297" s="14" t="inlineStr">
        <is>
          <t>SARS Guide for Codes Applicable to Employees Tax Certificates (PAYE-AE-06-G06), 2026 issue</t>
        </is>
      </c>
      <c r="B297" s="14" t="inlineStr"/>
      <c r="C297" s="17" t="inlineStr">
        <is>
          <t>https://www.sars.gov.za/wp-content/uploads/Ops/Guides/PAYE-AE-06-G06-Guide-for-Codes-Applicable-to-Employees-Tax-Certificates-2026-External-Guide.pdf</t>
        </is>
      </c>
      <c r="D297" s="15" t="inlineStr">
        <is>
          <t>REF-2026.03.01-CODES</t>
        </is>
      </c>
      <c r="E297" s="15" t="inlineStr">
        <is>
          <t>sars_source_code</t>
        </is>
      </c>
      <c r="F297" s="14" t="inlineStr">
        <is>
          <t>SARS source code 4005 — Medical scheme contributions (employee) — is taxable</t>
        </is>
      </c>
      <c r="G297" s="15" t="inlineStr">
        <is>
          <t>No</t>
        </is>
      </c>
      <c r="H297" s="15" t="inlineStr"/>
      <c r="I297" s="15" t="inlineStr"/>
      <c r="J297" s="15" t="inlineStr">
        <is>
          <t>sars_source_code:14:is_taxable</t>
        </is>
      </c>
    </row>
    <row r="298">
      <c r="A298" s="14" t="inlineStr">
        <is>
          <t>SARS Guide for Codes Applicable to Employees Tax Certificates (PAYE-AE-06-G06), 2026 issue</t>
        </is>
      </c>
      <c r="B298" s="14" t="inlineStr"/>
      <c r="C298" s="17" t="inlineStr">
        <is>
          <t>https://www.sars.gov.za/wp-content/uploads/Ops/Guides/PAYE-AE-06-G06-Guide-for-Codes-Applicable-to-Employees-Tax-Certificates-2026-External-Guide.pdf</t>
        </is>
      </c>
      <c r="D298" s="15" t="inlineStr">
        <is>
          <t>REF-2026.03.01-CODES</t>
        </is>
      </c>
      <c r="E298" s="15" t="inlineStr">
        <is>
          <t>sars_source_code</t>
        </is>
      </c>
      <c r="F298" s="14" t="inlineStr">
        <is>
          <t>SARS source code 4005 — Medical scheme contributions (employee) — is uif remuneration</t>
        </is>
      </c>
      <c r="G298" s="15" t="inlineStr">
        <is>
          <t>No</t>
        </is>
      </c>
      <c r="H298" s="15" t="inlineStr"/>
      <c r="I298" s="15" t="inlineStr"/>
      <c r="J298" s="15" t="inlineStr">
        <is>
          <t>sars_source_code:14:is_uif_remuneration</t>
        </is>
      </c>
    </row>
    <row r="299">
      <c r="A299" s="14" t="inlineStr">
        <is>
          <t>SARS Guide for Codes Applicable to Employees Tax Certificates (PAYE-AE-06-G06), 2026 issue</t>
        </is>
      </c>
      <c r="B299" s="14" t="inlineStr"/>
      <c r="C299" s="17" t="inlineStr">
        <is>
          <t>https://www.sars.gov.za/wp-content/uploads/Ops/Guides/PAYE-AE-06-G06-Guide-for-Codes-Applicable-to-Employees-Tax-Certificates-2026-External-Guide.pdf</t>
        </is>
      </c>
      <c r="D299" s="15" t="inlineStr">
        <is>
          <t>REF-2026.03.01-CODES</t>
        </is>
      </c>
      <c r="E299" s="15" t="inlineStr">
        <is>
          <t>sars_source_code</t>
        </is>
      </c>
      <c r="F299" s="14" t="inlineStr">
        <is>
          <t>SARS source code 4102 — PAYE — code group</t>
        </is>
      </c>
      <c r="G299" s="15" t="inlineStr">
        <is>
          <t>Deduction</t>
        </is>
      </c>
      <c r="H299" s="15" t="inlineStr"/>
      <c r="I299" s="15" t="inlineStr"/>
      <c r="J299" s="15" t="inlineStr">
        <is>
          <t>sars_source_code:15:code_group</t>
        </is>
      </c>
    </row>
    <row r="300">
      <c r="A300" s="14" t="inlineStr">
        <is>
          <t>SARS Guide for Codes Applicable to Employees Tax Certificates (PAYE-AE-06-G06), 2026 issue</t>
        </is>
      </c>
      <c r="B300" s="14" t="inlineStr"/>
      <c r="C300" s="17" t="inlineStr">
        <is>
          <t>https://www.sars.gov.za/wp-content/uploads/Ops/Guides/PAYE-AE-06-G06-Guide-for-Codes-Applicable-to-Employees-Tax-Certificates-2026-External-Guide.pdf</t>
        </is>
      </c>
      <c r="D300" s="15" t="inlineStr">
        <is>
          <t>REF-2026.03.01-CODES</t>
        </is>
      </c>
      <c r="E300" s="15" t="inlineStr">
        <is>
          <t>sars_source_code</t>
        </is>
      </c>
      <c r="F300" s="14" t="inlineStr">
        <is>
          <t>SARS source code 4102 — PAYE — description</t>
        </is>
      </c>
      <c r="G300" s="15" t="inlineStr">
        <is>
          <t>PAYE</t>
        </is>
      </c>
      <c r="H300" s="15" t="inlineStr"/>
      <c r="I300" s="15" t="inlineStr"/>
      <c r="J300" s="15" t="inlineStr">
        <is>
          <t>sars_source_code:15:description</t>
        </is>
      </c>
    </row>
    <row r="301">
      <c r="A301" s="14" t="inlineStr">
        <is>
          <t>SARS Guide for Codes Applicable to Employees Tax Certificates (PAYE-AE-06-G06), 2026 issue</t>
        </is>
      </c>
      <c r="B301" s="14" t="inlineStr"/>
      <c r="C301" s="17" t="inlineStr">
        <is>
          <t>https://www.sars.gov.za/wp-content/uploads/Ops/Guides/PAYE-AE-06-G06-Guide-for-Codes-Applicable-to-Employees-Tax-Certificates-2026-External-Guide.pdf</t>
        </is>
      </c>
      <c r="D301" s="15" t="inlineStr">
        <is>
          <t>REF-2026.03.01-CODES</t>
        </is>
      </c>
      <c r="E301" s="15" t="inlineStr">
        <is>
          <t>sars_source_code</t>
        </is>
      </c>
      <c r="F301" s="14" t="inlineStr">
        <is>
          <t>SARS source code 4102 — PAYE — is coida remuneration</t>
        </is>
      </c>
      <c r="G301" s="15" t="inlineStr">
        <is>
          <t>No</t>
        </is>
      </c>
      <c r="H301" s="15" t="inlineStr"/>
      <c r="I301" s="15" t="inlineStr"/>
      <c r="J301" s="15" t="inlineStr">
        <is>
          <t>sars_source_code:15:is_coida_remuneration</t>
        </is>
      </c>
    </row>
    <row r="302">
      <c r="A302" s="14" t="inlineStr">
        <is>
          <t>SARS Guide for Codes Applicable to Employees Tax Certificates (PAYE-AE-06-G06), 2026 issue</t>
        </is>
      </c>
      <c r="B302" s="14" t="inlineStr"/>
      <c r="C302" s="17" t="inlineStr">
        <is>
          <t>https://www.sars.gov.za/wp-content/uploads/Ops/Guides/PAYE-AE-06-G06-Guide-for-Codes-Applicable-to-Employees-Tax-Certificates-2026-External-Guide.pdf</t>
        </is>
      </c>
      <c r="D302" s="15" t="inlineStr">
        <is>
          <t>REF-2026.03.01-CODES</t>
        </is>
      </c>
      <c r="E302" s="15" t="inlineStr">
        <is>
          <t>sars_source_code</t>
        </is>
      </c>
      <c r="F302" s="14" t="inlineStr">
        <is>
          <t>SARS source code 4102 — PAYE — is sdl remuneration</t>
        </is>
      </c>
      <c r="G302" s="15" t="inlineStr">
        <is>
          <t>No</t>
        </is>
      </c>
      <c r="H302" s="15" t="inlineStr"/>
      <c r="I302" s="15" t="inlineStr"/>
      <c r="J302" s="15" t="inlineStr">
        <is>
          <t>sars_source_code:15:is_sdl_remuneration</t>
        </is>
      </c>
    </row>
    <row r="303">
      <c r="A303" s="14" t="inlineStr">
        <is>
          <t>SARS Guide for Codes Applicable to Employees Tax Certificates (PAYE-AE-06-G06), 2026 issue</t>
        </is>
      </c>
      <c r="B303" s="14" t="inlineStr"/>
      <c r="C303" s="17" t="inlineStr">
        <is>
          <t>https://www.sars.gov.za/wp-content/uploads/Ops/Guides/PAYE-AE-06-G06-Guide-for-Codes-Applicable-to-Employees-Tax-Certificates-2026-External-Guide.pdf</t>
        </is>
      </c>
      <c r="D303" s="15" t="inlineStr">
        <is>
          <t>REF-2026.03.01-CODES</t>
        </is>
      </c>
      <c r="E303" s="15" t="inlineStr">
        <is>
          <t>sars_source_code</t>
        </is>
      </c>
      <c r="F303" s="14" t="inlineStr">
        <is>
          <t>SARS source code 4102 — PAYE — is taxable</t>
        </is>
      </c>
      <c r="G303" s="15" t="inlineStr">
        <is>
          <t>No</t>
        </is>
      </c>
      <c r="H303" s="15" t="inlineStr"/>
      <c r="I303" s="15" t="inlineStr"/>
      <c r="J303" s="15" t="inlineStr">
        <is>
          <t>sars_source_code:15:is_taxable</t>
        </is>
      </c>
    </row>
    <row r="304">
      <c r="A304" s="14" t="inlineStr">
        <is>
          <t>SARS Guide for Codes Applicable to Employees Tax Certificates (PAYE-AE-06-G06), 2026 issue</t>
        </is>
      </c>
      <c r="B304" s="14" t="inlineStr"/>
      <c r="C304" s="17" t="inlineStr">
        <is>
          <t>https://www.sars.gov.za/wp-content/uploads/Ops/Guides/PAYE-AE-06-G06-Guide-for-Codes-Applicable-to-Employees-Tax-Certificates-2026-External-Guide.pdf</t>
        </is>
      </c>
      <c r="D304" s="15" t="inlineStr">
        <is>
          <t>REF-2026.03.01-CODES</t>
        </is>
      </c>
      <c r="E304" s="15" t="inlineStr">
        <is>
          <t>sars_source_code</t>
        </is>
      </c>
      <c r="F304" s="14" t="inlineStr">
        <is>
          <t>SARS source code 4102 — PAYE — is uif remuneration</t>
        </is>
      </c>
      <c r="G304" s="15" t="inlineStr">
        <is>
          <t>No</t>
        </is>
      </c>
      <c r="H304" s="15" t="inlineStr"/>
      <c r="I304" s="15" t="inlineStr"/>
      <c r="J304" s="15" t="inlineStr">
        <is>
          <t>sars_source_code:15:is_uif_remuneration</t>
        </is>
      </c>
    </row>
    <row r="305">
      <c r="A305" s="14" t="inlineStr">
        <is>
          <t>SARS Guide for Codes Applicable to Employees Tax Certificates (PAYE-AE-06-G06), 2026 issue</t>
        </is>
      </c>
      <c r="B305" s="14" t="inlineStr"/>
      <c r="C305" s="17" t="inlineStr">
        <is>
          <t>https://www.sars.gov.za/wp-content/uploads/Ops/Guides/PAYE-AE-06-G06-Guide-for-Codes-Applicable-to-Employees-Tax-Certificates-2026-External-Guide.pdf</t>
        </is>
      </c>
      <c r="D305" s="15" t="inlineStr">
        <is>
          <t>REF-2026.03.01-CODES</t>
        </is>
      </c>
      <c r="E305" s="15" t="inlineStr">
        <is>
          <t>sars_source_code</t>
        </is>
      </c>
      <c r="F305" s="14" t="inlineStr">
        <is>
          <t>SARS source code 4116 — Medical scheme fees tax credit — code group</t>
        </is>
      </c>
      <c r="G305" s="15" t="inlineStr">
        <is>
          <t>Deduction</t>
        </is>
      </c>
      <c r="H305" s="15" t="inlineStr"/>
      <c r="I305" s="15" t="inlineStr"/>
      <c r="J305" s="15" t="inlineStr">
        <is>
          <t>sars_source_code:16:code_group</t>
        </is>
      </c>
    </row>
    <row r="306">
      <c r="A306" s="14" t="inlineStr">
        <is>
          <t>SARS Guide for Codes Applicable to Employees Tax Certificates (PAYE-AE-06-G06), 2026 issue</t>
        </is>
      </c>
      <c r="B306" s="14" t="inlineStr"/>
      <c r="C306" s="17" t="inlineStr">
        <is>
          <t>https://www.sars.gov.za/wp-content/uploads/Ops/Guides/PAYE-AE-06-G06-Guide-for-Codes-Applicable-to-Employees-Tax-Certificates-2026-External-Guide.pdf</t>
        </is>
      </c>
      <c r="D306" s="15" t="inlineStr">
        <is>
          <t>REF-2026.03.01-CODES</t>
        </is>
      </c>
      <c r="E306" s="15" t="inlineStr">
        <is>
          <t>sars_source_code</t>
        </is>
      </c>
      <c r="F306" s="14" t="inlineStr">
        <is>
          <t>SARS source code 4116 — Medical scheme fees tax credit — description</t>
        </is>
      </c>
      <c r="G306" s="15" t="inlineStr">
        <is>
          <t>Medical scheme fees tax credit</t>
        </is>
      </c>
      <c r="H306" s="15" t="inlineStr"/>
      <c r="I306" s="15" t="inlineStr"/>
      <c r="J306" s="15" t="inlineStr">
        <is>
          <t>sars_source_code:16:description</t>
        </is>
      </c>
    </row>
    <row r="307">
      <c r="A307" s="14" t="inlineStr">
        <is>
          <t>SARS Guide for Codes Applicable to Employees Tax Certificates (PAYE-AE-06-G06), 2026 issue</t>
        </is>
      </c>
      <c r="B307" s="14" t="inlineStr"/>
      <c r="C307" s="17" t="inlineStr">
        <is>
          <t>https://www.sars.gov.za/wp-content/uploads/Ops/Guides/PAYE-AE-06-G06-Guide-for-Codes-Applicable-to-Employees-Tax-Certificates-2026-External-Guide.pdf</t>
        </is>
      </c>
      <c r="D307" s="15" t="inlineStr">
        <is>
          <t>REF-2026.03.01-CODES</t>
        </is>
      </c>
      <c r="E307" s="15" t="inlineStr">
        <is>
          <t>sars_source_code</t>
        </is>
      </c>
      <c r="F307" s="14" t="inlineStr">
        <is>
          <t>SARS source code 4116 — Medical scheme fees tax credit — is coida remuneration</t>
        </is>
      </c>
      <c r="G307" s="15" t="inlineStr">
        <is>
          <t>No</t>
        </is>
      </c>
      <c r="H307" s="15" t="inlineStr"/>
      <c r="I307" s="15" t="inlineStr"/>
      <c r="J307" s="15" t="inlineStr">
        <is>
          <t>sars_source_code:16:is_coida_remuneration</t>
        </is>
      </c>
    </row>
    <row r="308">
      <c r="A308" s="14" t="inlineStr">
        <is>
          <t>SARS Guide for Codes Applicable to Employees Tax Certificates (PAYE-AE-06-G06), 2026 issue</t>
        </is>
      </c>
      <c r="B308" s="14" t="inlineStr"/>
      <c r="C308" s="17" t="inlineStr">
        <is>
          <t>https://www.sars.gov.za/wp-content/uploads/Ops/Guides/PAYE-AE-06-G06-Guide-for-Codes-Applicable-to-Employees-Tax-Certificates-2026-External-Guide.pdf</t>
        </is>
      </c>
      <c r="D308" s="15" t="inlineStr">
        <is>
          <t>REF-2026.03.01-CODES</t>
        </is>
      </c>
      <c r="E308" s="15" t="inlineStr">
        <is>
          <t>sars_source_code</t>
        </is>
      </c>
      <c r="F308" s="14" t="inlineStr">
        <is>
          <t>SARS source code 4116 — Medical scheme fees tax credit — is sdl remuneration</t>
        </is>
      </c>
      <c r="G308" s="15" t="inlineStr">
        <is>
          <t>No</t>
        </is>
      </c>
      <c r="H308" s="15" t="inlineStr"/>
      <c r="I308" s="15" t="inlineStr"/>
      <c r="J308" s="15" t="inlineStr">
        <is>
          <t>sars_source_code:16:is_sdl_remuneration</t>
        </is>
      </c>
    </row>
    <row r="309">
      <c r="A309" s="14" t="inlineStr">
        <is>
          <t>SARS Guide for Codes Applicable to Employees Tax Certificates (PAYE-AE-06-G06), 2026 issue</t>
        </is>
      </c>
      <c r="B309" s="14" t="inlineStr"/>
      <c r="C309" s="17" t="inlineStr">
        <is>
          <t>https://www.sars.gov.za/wp-content/uploads/Ops/Guides/PAYE-AE-06-G06-Guide-for-Codes-Applicable-to-Employees-Tax-Certificates-2026-External-Guide.pdf</t>
        </is>
      </c>
      <c r="D309" s="15" t="inlineStr">
        <is>
          <t>REF-2026.03.01-CODES</t>
        </is>
      </c>
      <c r="E309" s="15" t="inlineStr">
        <is>
          <t>sars_source_code</t>
        </is>
      </c>
      <c r="F309" s="14" t="inlineStr">
        <is>
          <t>SARS source code 4116 — Medical scheme fees tax credit — is taxable</t>
        </is>
      </c>
      <c r="G309" s="15" t="inlineStr">
        <is>
          <t>No</t>
        </is>
      </c>
      <c r="H309" s="15" t="inlineStr"/>
      <c r="I309" s="15" t="inlineStr"/>
      <c r="J309" s="15" t="inlineStr">
        <is>
          <t>sars_source_code:16:is_taxable</t>
        </is>
      </c>
    </row>
    <row r="310">
      <c r="A310" s="14" t="inlineStr">
        <is>
          <t>SARS Guide for Codes Applicable to Employees Tax Certificates (PAYE-AE-06-G06), 2026 issue</t>
        </is>
      </c>
      <c r="B310" s="14" t="inlineStr"/>
      <c r="C310" s="17" t="inlineStr">
        <is>
          <t>https://www.sars.gov.za/wp-content/uploads/Ops/Guides/PAYE-AE-06-G06-Guide-for-Codes-Applicable-to-Employees-Tax-Certificates-2026-External-Guide.pdf</t>
        </is>
      </c>
      <c r="D310" s="15" t="inlineStr">
        <is>
          <t>REF-2026.03.01-CODES</t>
        </is>
      </c>
      <c r="E310" s="15" t="inlineStr">
        <is>
          <t>sars_source_code</t>
        </is>
      </c>
      <c r="F310" s="14" t="inlineStr">
        <is>
          <t>SARS source code 4116 — Medical scheme fees tax credit — is uif remuneration</t>
        </is>
      </c>
      <c r="G310" s="15" t="inlineStr">
        <is>
          <t>No</t>
        </is>
      </c>
      <c r="H310" s="15" t="inlineStr"/>
      <c r="I310" s="15" t="inlineStr"/>
      <c r="J310" s="15" t="inlineStr">
        <is>
          <t>sars_source_code:16:is_uif_remuneration</t>
        </is>
      </c>
    </row>
    <row r="311">
      <c r="A311" s="14" t="inlineStr">
        <is>
          <t>SARS Guide for Codes Applicable to Employees Tax Certificates (PAYE-AE-06-G06), 2026 issue</t>
        </is>
      </c>
      <c r="B311" s="14" t="inlineStr"/>
      <c r="C311" s="17" t="inlineStr">
        <is>
          <t>https://www.sars.gov.za/wp-content/uploads/Ops/Guides/PAYE-AE-06-G06-Guide-for-Codes-Applicable-to-Employees-Tax-Certificates-2026-External-Guide.pdf</t>
        </is>
      </c>
      <c r="D311" s="15" t="inlineStr">
        <is>
          <t>REF-2026.03.01-CODES</t>
        </is>
      </c>
      <c r="E311" s="15" t="inlineStr">
        <is>
          <t>sars_source_code</t>
        </is>
      </c>
      <c r="F311" s="14" t="inlineStr">
        <is>
          <t>SARS source code 4141 — UIF contribution (employee and employer) — code group</t>
        </is>
      </c>
      <c r="G311" s="15" t="inlineStr">
        <is>
          <t>Deduction</t>
        </is>
      </c>
      <c r="H311" s="15" t="inlineStr"/>
      <c r="I311" s="15" t="inlineStr"/>
      <c r="J311" s="15" t="inlineStr">
        <is>
          <t>sars_source_code:17:code_group</t>
        </is>
      </c>
    </row>
    <row r="312">
      <c r="A312" s="14" t="inlineStr">
        <is>
          <t>SARS Guide for Codes Applicable to Employees Tax Certificates (PAYE-AE-06-G06), 2026 issue</t>
        </is>
      </c>
      <c r="B312" s="14" t="inlineStr"/>
      <c r="C312" s="17" t="inlineStr">
        <is>
          <t>https://www.sars.gov.za/wp-content/uploads/Ops/Guides/PAYE-AE-06-G06-Guide-for-Codes-Applicable-to-Employees-Tax-Certificates-2026-External-Guide.pdf</t>
        </is>
      </c>
      <c r="D312" s="15" t="inlineStr">
        <is>
          <t>REF-2026.03.01-CODES</t>
        </is>
      </c>
      <c r="E312" s="15" t="inlineStr">
        <is>
          <t>sars_source_code</t>
        </is>
      </c>
      <c r="F312" s="14" t="inlineStr">
        <is>
          <t>SARS source code 4141 — UIF contribution (employee and employer) — description</t>
        </is>
      </c>
      <c r="G312" s="15" t="inlineStr">
        <is>
          <t>UIF contribution (employee and employer)</t>
        </is>
      </c>
      <c r="H312" s="15" t="inlineStr"/>
      <c r="I312" s="15" t="inlineStr"/>
      <c r="J312" s="15" t="inlineStr">
        <is>
          <t>sars_source_code:17:description</t>
        </is>
      </c>
    </row>
    <row r="313">
      <c r="A313" s="14" t="inlineStr">
        <is>
          <t>SARS Guide for Codes Applicable to Employees Tax Certificates (PAYE-AE-06-G06), 2026 issue</t>
        </is>
      </c>
      <c r="B313" s="14" t="inlineStr"/>
      <c r="C313" s="17" t="inlineStr">
        <is>
          <t>https://www.sars.gov.za/wp-content/uploads/Ops/Guides/PAYE-AE-06-G06-Guide-for-Codes-Applicable-to-Employees-Tax-Certificates-2026-External-Guide.pdf</t>
        </is>
      </c>
      <c r="D313" s="15" t="inlineStr">
        <is>
          <t>REF-2026.03.01-CODES</t>
        </is>
      </c>
      <c r="E313" s="15" t="inlineStr">
        <is>
          <t>sars_source_code</t>
        </is>
      </c>
      <c r="F313" s="14" t="inlineStr">
        <is>
          <t>SARS source code 4141 — UIF contribution (employee and employer) — is coida remuneration</t>
        </is>
      </c>
      <c r="G313" s="15" t="inlineStr">
        <is>
          <t>No</t>
        </is>
      </c>
      <c r="H313" s="15" t="inlineStr"/>
      <c r="I313" s="15" t="inlineStr"/>
      <c r="J313" s="15" t="inlineStr">
        <is>
          <t>sars_source_code:17:is_coida_remuneration</t>
        </is>
      </c>
    </row>
    <row r="314">
      <c r="A314" s="14" t="inlineStr">
        <is>
          <t>SARS Guide for Codes Applicable to Employees Tax Certificates (PAYE-AE-06-G06), 2026 issue</t>
        </is>
      </c>
      <c r="B314" s="14" t="inlineStr"/>
      <c r="C314" s="17" t="inlineStr">
        <is>
          <t>https://www.sars.gov.za/wp-content/uploads/Ops/Guides/PAYE-AE-06-G06-Guide-for-Codes-Applicable-to-Employees-Tax-Certificates-2026-External-Guide.pdf</t>
        </is>
      </c>
      <c r="D314" s="15" t="inlineStr">
        <is>
          <t>REF-2026.03.01-CODES</t>
        </is>
      </c>
      <c r="E314" s="15" t="inlineStr">
        <is>
          <t>sars_source_code</t>
        </is>
      </c>
      <c r="F314" s="14" t="inlineStr">
        <is>
          <t>SARS source code 4141 — UIF contribution (employee and employer) — is sdl remuneration</t>
        </is>
      </c>
      <c r="G314" s="15" t="inlineStr">
        <is>
          <t>No</t>
        </is>
      </c>
      <c r="H314" s="15" t="inlineStr"/>
      <c r="I314" s="15" t="inlineStr"/>
      <c r="J314" s="15" t="inlineStr">
        <is>
          <t>sars_source_code:17:is_sdl_remuneration</t>
        </is>
      </c>
    </row>
    <row r="315">
      <c r="A315" s="14" t="inlineStr">
        <is>
          <t>SARS Guide for Codes Applicable to Employees Tax Certificates (PAYE-AE-06-G06), 2026 issue</t>
        </is>
      </c>
      <c r="B315" s="14" t="inlineStr"/>
      <c r="C315" s="17" t="inlineStr">
        <is>
          <t>https://www.sars.gov.za/wp-content/uploads/Ops/Guides/PAYE-AE-06-G06-Guide-for-Codes-Applicable-to-Employees-Tax-Certificates-2026-External-Guide.pdf</t>
        </is>
      </c>
      <c r="D315" s="15" t="inlineStr">
        <is>
          <t>REF-2026.03.01-CODES</t>
        </is>
      </c>
      <c r="E315" s="15" t="inlineStr">
        <is>
          <t>sars_source_code</t>
        </is>
      </c>
      <c r="F315" s="14" t="inlineStr">
        <is>
          <t>SARS source code 4141 — UIF contribution (employee and employer) — is taxable</t>
        </is>
      </c>
      <c r="G315" s="15" t="inlineStr">
        <is>
          <t>No</t>
        </is>
      </c>
      <c r="H315" s="15" t="inlineStr"/>
      <c r="I315" s="15" t="inlineStr"/>
      <c r="J315" s="15" t="inlineStr">
        <is>
          <t>sars_source_code:17:is_taxable</t>
        </is>
      </c>
    </row>
    <row r="316">
      <c r="A316" s="14" t="inlineStr">
        <is>
          <t>SARS Guide for Codes Applicable to Employees Tax Certificates (PAYE-AE-06-G06), 2026 issue</t>
        </is>
      </c>
      <c r="B316" s="14" t="inlineStr"/>
      <c r="C316" s="17" t="inlineStr">
        <is>
          <t>https://www.sars.gov.za/wp-content/uploads/Ops/Guides/PAYE-AE-06-G06-Guide-for-Codes-Applicable-to-Employees-Tax-Certificates-2026-External-Guide.pdf</t>
        </is>
      </c>
      <c r="D316" s="15" t="inlineStr">
        <is>
          <t>REF-2026.03.01-CODES</t>
        </is>
      </c>
      <c r="E316" s="15" t="inlineStr">
        <is>
          <t>sars_source_code</t>
        </is>
      </c>
      <c r="F316" s="14" t="inlineStr">
        <is>
          <t>SARS source code 4141 — UIF contribution (employee and employer) — is uif remuneration</t>
        </is>
      </c>
      <c r="G316" s="15" t="inlineStr">
        <is>
          <t>No</t>
        </is>
      </c>
      <c r="H316" s="15" t="inlineStr"/>
      <c r="I316" s="15" t="inlineStr"/>
      <c r="J316" s="15" t="inlineStr">
        <is>
          <t>sars_source_code:17:is_uif_remuneration</t>
        </is>
      </c>
    </row>
    <row r="317">
      <c r="A317" s="14" t="inlineStr">
        <is>
          <t>SARS Guide for Codes Applicable to Employees Tax Certificates (PAYE-AE-06-G06), 2026 issue</t>
        </is>
      </c>
      <c r="B317" s="14" t="inlineStr"/>
      <c r="C317" s="17" t="inlineStr">
        <is>
          <t>https://www.sars.gov.za/wp-content/uploads/Ops/Guides/PAYE-AE-06-G06-Guide-for-Codes-Applicable-to-Employees-Tax-Certificates-2026-External-Guide.pdf</t>
        </is>
      </c>
      <c r="D317" s="15" t="inlineStr">
        <is>
          <t>REF-2026.03.01-CODES</t>
        </is>
      </c>
      <c r="E317" s="15" t="inlineStr">
        <is>
          <t>sars_source_code</t>
        </is>
      </c>
      <c r="F317" s="14" t="inlineStr">
        <is>
          <t>SARS source code 4142 — SDL contribution — code group</t>
        </is>
      </c>
      <c r="G317" s="15" t="inlineStr">
        <is>
          <t>Deduction</t>
        </is>
      </c>
      <c r="H317" s="15" t="inlineStr"/>
      <c r="I317" s="15" t="inlineStr"/>
      <c r="J317" s="15" t="inlineStr">
        <is>
          <t>sars_source_code:18:code_group</t>
        </is>
      </c>
    </row>
    <row r="318">
      <c r="A318" s="14" t="inlineStr">
        <is>
          <t>SARS Guide for Codes Applicable to Employees Tax Certificates (PAYE-AE-06-G06), 2026 issue</t>
        </is>
      </c>
      <c r="B318" s="14" t="inlineStr"/>
      <c r="C318" s="17" t="inlineStr">
        <is>
          <t>https://www.sars.gov.za/wp-content/uploads/Ops/Guides/PAYE-AE-06-G06-Guide-for-Codes-Applicable-to-Employees-Tax-Certificates-2026-External-Guide.pdf</t>
        </is>
      </c>
      <c r="D318" s="15" t="inlineStr">
        <is>
          <t>REF-2026.03.01-CODES</t>
        </is>
      </c>
      <c r="E318" s="15" t="inlineStr">
        <is>
          <t>sars_source_code</t>
        </is>
      </c>
      <c r="F318" s="14" t="inlineStr">
        <is>
          <t>SARS source code 4142 — SDL contribution — description</t>
        </is>
      </c>
      <c r="G318" s="15" t="inlineStr">
        <is>
          <t>SDL contribution</t>
        </is>
      </c>
      <c r="H318" s="15" t="inlineStr"/>
      <c r="I318" s="15" t="inlineStr"/>
      <c r="J318" s="15" t="inlineStr">
        <is>
          <t>sars_source_code:18:description</t>
        </is>
      </c>
    </row>
    <row r="319">
      <c r="A319" s="14" t="inlineStr">
        <is>
          <t>SARS Guide for Codes Applicable to Employees Tax Certificates (PAYE-AE-06-G06), 2026 issue</t>
        </is>
      </c>
      <c r="B319" s="14" t="inlineStr"/>
      <c r="C319" s="17" t="inlineStr">
        <is>
          <t>https://www.sars.gov.za/wp-content/uploads/Ops/Guides/PAYE-AE-06-G06-Guide-for-Codes-Applicable-to-Employees-Tax-Certificates-2026-External-Guide.pdf</t>
        </is>
      </c>
      <c r="D319" s="15" t="inlineStr">
        <is>
          <t>REF-2026.03.01-CODES</t>
        </is>
      </c>
      <c r="E319" s="15" t="inlineStr">
        <is>
          <t>sars_source_code</t>
        </is>
      </c>
      <c r="F319" s="14" t="inlineStr">
        <is>
          <t>SARS source code 4142 — SDL contribution — is coida remuneration</t>
        </is>
      </c>
      <c r="G319" s="15" t="inlineStr">
        <is>
          <t>No</t>
        </is>
      </c>
      <c r="H319" s="15" t="inlineStr"/>
      <c r="I319" s="15" t="inlineStr"/>
      <c r="J319" s="15" t="inlineStr">
        <is>
          <t>sars_source_code:18:is_coida_remuneration</t>
        </is>
      </c>
    </row>
    <row r="320">
      <c r="A320" s="14" t="inlineStr">
        <is>
          <t>SARS Guide for Codes Applicable to Employees Tax Certificates (PAYE-AE-06-G06), 2026 issue</t>
        </is>
      </c>
      <c r="B320" s="14" t="inlineStr"/>
      <c r="C320" s="17" t="inlineStr">
        <is>
          <t>https://www.sars.gov.za/wp-content/uploads/Ops/Guides/PAYE-AE-06-G06-Guide-for-Codes-Applicable-to-Employees-Tax-Certificates-2026-External-Guide.pdf</t>
        </is>
      </c>
      <c r="D320" s="15" t="inlineStr">
        <is>
          <t>REF-2026.03.01-CODES</t>
        </is>
      </c>
      <c r="E320" s="15" t="inlineStr">
        <is>
          <t>sars_source_code</t>
        </is>
      </c>
      <c r="F320" s="14" t="inlineStr">
        <is>
          <t>SARS source code 4142 — SDL contribution — is sdl remuneration</t>
        </is>
      </c>
      <c r="G320" s="15" t="inlineStr">
        <is>
          <t>No</t>
        </is>
      </c>
      <c r="H320" s="15" t="inlineStr"/>
      <c r="I320" s="15" t="inlineStr"/>
      <c r="J320" s="15" t="inlineStr">
        <is>
          <t>sars_source_code:18:is_sdl_remuneration</t>
        </is>
      </c>
    </row>
    <row r="321">
      <c r="A321" s="14" t="inlineStr">
        <is>
          <t>SARS Guide for Codes Applicable to Employees Tax Certificates (PAYE-AE-06-G06), 2026 issue</t>
        </is>
      </c>
      <c r="B321" s="14" t="inlineStr"/>
      <c r="C321" s="17" t="inlineStr">
        <is>
          <t>https://www.sars.gov.za/wp-content/uploads/Ops/Guides/PAYE-AE-06-G06-Guide-for-Codes-Applicable-to-Employees-Tax-Certificates-2026-External-Guide.pdf</t>
        </is>
      </c>
      <c r="D321" s="15" t="inlineStr">
        <is>
          <t>REF-2026.03.01-CODES</t>
        </is>
      </c>
      <c r="E321" s="15" t="inlineStr">
        <is>
          <t>sars_source_code</t>
        </is>
      </c>
      <c r="F321" s="14" t="inlineStr">
        <is>
          <t>SARS source code 4142 — SDL contribution — is taxable</t>
        </is>
      </c>
      <c r="G321" s="15" t="inlineStr">
        <is>
          <t>No</t>
        </is>
      </c>
      <c r="H321" s="15" t="inlineStr"/>
      <c r="I321" s="15" t="inlineStr"/>
      <c r="J321" s="15" t="inlineStr">
        <is>
          <t>sars_source_code:18:is_taxable</t>
        </is>
      </c>
    </row>
    <row r="322">
      <c r="A322" s="14" t="inlineStr">
        <is>
          <t>SARS Guide for Codes Applicable to Employees Tax Certificates (PAYE-AE-06-G06), 2026 issue</t>
        </is>
      </c>
      <c r="B322" s="14" t="inlineStr"/>
      <c r="C322" s="17" t="inlineStr">
        <is>
          <t>https://www.sars.gov.za/wp-content/uploads/Ops/Guides/PAYE-AE-06-G06-Guide-for-Codes-Applicable-to-Employees-Tax-Certificates-2026-External-Guide.pdf</t>
        </is>
      </c>
      <c r="D322" s="15" t="inlineStr">
        <is>
          <t>REF-2026.03.01-CODES</t>
        </is>
      </c>
      <c r="E322" s="15" t="inlineStr">
        <is>
          <t>sars_source_code</t>
        </is>
      </c>
      <c r="F322" s="14" t="inlineStr">
        <is>
          <t>SARS source code 4142 — SDL contribution — is uif remuneration</t>
        </is>
      </c>
      <c r="G322" s="15" t="inlineStr">
        <is>
          <t>No</t>
        </is>
      </c>
      <c r="H322" s="15" t="inlineStr"/>
      <c r="I322" s="15" t="inlineStr"/>
      <c r="J322" s="15" t="inlineStr">
        <is>
          <t>sars_source_code:18:is_uif_remuneration</t>
        </is>
      </c>
    </row>
    <row r="323">
      <c r="A323" s="14" t="inlineStr">
        <is>
          <t>SARS Guide for Codes Applicable to Employees Tax Certificates (PAYE-AE-06-G06), 2026 issue</t>
        </is>
      </c>
      <c r="B323" s="14" t="inlineStr"/>
      <c r="C323" s="17" t="inlineStr">
        <is>
          <t>https://www.sars.gov.za/wp-content/uploads/Ops/Guides/PAYE-AE-06-G06-Guide-for-Codes-Applicable-to-Employees-Tax-Certificates-2026-External-Guide.pdf</t>
        </is>
      </c>
      <c r="D323" s="15" t="inlineStr">
        <is>
          <t>REF-2026.03.01-CODES</t>
        </is>
      </c>
      <c r="E323" s="15" t="inlineStr">
        <is>
          <t>sars_source_code</t>
        </is>
      </c>
      <c r="F323" s="14" t="inlineStr">
        <is>
          <t>SARS source code 4149 — Total tax, UIF and SDL — code group</t>
        </is>
      </c>
      <c r="G323" s="15" t="inlineStr">
        <is>
          <t>Total</t>
        </is>
      </c>
      <c r="H323" s="15" t="inlineStr"/>
      <c r="I323" s="15" t="inlineStr"/>
      <c r="J323" s="15" t="inlineStr">
        <is>
          <t>sars_source_code:19:code_group</t>
        </is>
      </c>
    </row>
    <row r="324">
      <c r="A324" s="14" t="inlineStr">
        <is>
          <t>SARS Guide for Codes Applicable to Employees Tax Certificates (PAYE-AE-06-G06), 2026 issue</t>
        </is>
      </c>
      <c r="B324" s="14" t="inlineStr"/>
      <c r="C324" s="17" t="inlineStr">
        <is>
          <t>https://www.sars.gov.za/wp-content/uploads/Ops/Guides/PAYE-AE-06-G06-Guide-for-Codes-Applicable-to-Employees-Tax-Certificates-2026-External-Guide.pdf</t>
        </is>
      </c>
      <c r="D324" s="15" t="inlineStr">
        <is>
          <t>REF-2026.03.01-CODES</t>
        </is>
      </c>
      <c r="E324" s="15" t="inlineStr">
        <is>
          <t>sars_source_code</t>
        </is>
      </c>
      <c r="F324" s="14" t="inlineStr">
        <is>
          <t>SARS source code 4149 — Total tax, UIF and SDL — description</t>
        </is>
      </c>
      <c r="G324" s="15" t="inlineStr">
        <is>
          <t>Total tax, UIF and SDL</t>
        </is>
      </c>
      <c r="H324" s="15" t="inlineStr"/>
      <c r="I324" s="15" t="inlineStr"/>
      <c r="J324" s="15" t="inlineStr">
        <is>
          <t>sars_source_code:19:description</t>
        </is>
      </c>
    </row>
    <row r="325">
      <c r="A325" s="14" t="inlineStr">
        <is>
          <t>SARS Guide for Codes Applicable to Employees Tax Certificates (PAYE-AE-06-G06), 2026 issue</t>
        </is>
      </c>
      <c r="B325" s="14" t="inlineStr"/>
      <c r="C325" s="17" t="inlineStr">
        <is>
          <t>https://www.sars.gov.za/wp-content/uploads/Ops/Guides/PAYE-AE-06-G06-Guide-for-Codes-Applicable-to-Employees-Tax-Certificates-2026-External-Guide.pdf</t>
        </is>
      </c>
      <c r="D325" s="15" t="inlineStr">
        <is>
          <t>REF-2026.03.01-CODES</t>
        </is>
      </c>
      <c r="E325" s="15" t="inlineStr">
        <is>
          <t>sars_source_code</t>
        </is>
      </c>
      <c r="F325" s="14" t="inlineStr">
        <is>
          <t>SARS source code 4149 — Total tax, UIF and SDL — is coida remuneration</t>
        </is>
      </c>
      <c r="G325" s="15" t="inlineStr">
        <is>
          <t>No</t>
        </is>
      </c>
      <c r="H325" s="15" t="inlineStr"/>
      <c r="I325" s="15" t="inlineStr"/>
      <c r="J325" s="15" t="inlineStr">
        <is>
          <t>sars_source_code:19:is_coida_remuneration</t>
        </is>
      </c>
    </row>
    <row r="326">
      <c r="A326" s="14" t="inlineStr">
        <is>
          <t>SARS Guide for Codes Applicable to Employees Tax Certificates (PAYE-AE-06-G06), 2026 issue</t>
        </is>
      </c>
      <c r="B326" s="14" t="inlineStr"/>
      <c r="C326" s="17" t="inlineStr">
        <is>
          <t>https://www.sars.gov.za/wp-content/uploads/Ops/Guides/PAYE-AE-06-G06-Guide-for-Codes-Applicable-to-Employees-Tax-Certificates-2026-External-Guide.pdf</t>
        </is>
      </c>
      <c r="D326" s="15" t="inlineStr">
        <is>
          <t>REF-2026.03.01-CODES</t>
        </is>
      </c>
      <c r="E326" s="15" t="inlineStr">
        <is>
          <t>sars_source_code</t>
        </is>
      </c>
      <c r="F326" s="14" t="inlineStr">
        <is>
          <t>SARS source code 4149 — Total tax, UIF and SDL — is sdl remuneration</t>
        </is>
      </c>
      <c r="G326" s="15" t="inlineStr">
        <is>
          <t>No</t>
        </is>
      </c>
      <c r="H326" s="15" t="inlineStr"/>
      <c r="I326" s="15" t="inlineStr"/>
      <c r="J326" s="15" t="inlineStr">
        <is>
          <t>sars_source_code:19:is_sdl_remuneration</t>
        </is>
      </c>
    </row>
    <row r="327">
      <c r="A327" s="14" t="inlineStr">
        <is>
          <t>SARS Guide for Codes Applicable to Employees Tax Certificates (PAYE-AE-06-G06), 2026 issue</t>
        </is>
      </c>
      <c r="B327" s="14" t="inlineStr"/>
      <c r="C327" s="17" t="inlineStr">
        <is>
          <t>https://www.sars.gov.za/wp-content/uploads/Ops/Guides/PAYE-AE-06-G06-Guide-for-Codes-Applicable-to-Employees-Tax-Certificates-2026-External-Guide.pdf</t>
        </is>
      </c>
      <c r="D327" s="15" t="inlineStr">
        <is>
          <t>REF-2026.03.01-CODES</t>
        </is>
      </c>
      <c r="E327" s="15" t="inlineStr">
        <is>
          <t>sars_source_code</t>
        </is>
      </c>
      <c r="F327" s="14" t="inlineStr">
        <is>
          <t>SARS source code 4149 — Total tax, UIF and SDL — is taxable</t>
        </is>
      </c>
      <c r="G327" s="15" t="inlineStr">
        <is>
          <t>No</t>
        </is>
      </c>
      <c r="H327" s="15" t="inlineStr"/>
      <c r="I327" s="15" t="inlineStr"/>
      <c r="J327" s="15" t="inlineStr">
        <is>
          <t>sars_source_code:19:is_taxable</t>
        </is>
      </c>
    </row>
    <row r="328">
      <c r="A328" s="14" t="inlineStr">
        <is>
          <t>SARS Guide for Codes Applicable to Employees Tax Certificates (PAYE-AE-06-G06), 2026 issue</t>
        </is>
      </c>
      <c r="B328" s="14" t="inlineStr"/>
      <c r="C328" s="17" t="inlineStr">
        <is>
          <t>https://www.sars.gov.za/wp-content/uploads/Ops/Guides/PAYE-AE-06-G06-Guide-for-Codes-Applicable-to-Employees-Tax-Certificates-2026-External-Guide.pdf</t>
        </is>
      </c>
      <c r="D328" s="15" t="inlineStr">
        <is>
          <t>REF-2026.03.01-CODES</t>
        </is>
      </c>
      <c r="E328" s="15" t="inlineStr">
        <is>
          <t>sars_source_code</t>
        </is>
      </c>
      <c r="F328" s="14" t="inlineStr">
        <is>
          <t>SARS source code 4149 — Total tax, UIF and SDL — is uif remuneration</t>
        </is>
      </c>
      <c r="G328" s="15" t="inlineStr">
        <is>
          <t>No</t>
        </is>
      </c>
      <c r="H328" s="15" t="inlineStr"/>
      <c r="I328" s="15" t="inlineStr"/>
      <c r="J328" s="15" t="inlineStr">
        <is>
          <t>sars_source_code:19:is_uif_remuneration</t>
        </is>
      </c>
    </row>
    <row r="329">
      <c r="A329" s="14" t="inlineStr">
        <is>
          <t>SARS Guide for Codes Applicable to Employees Tax Certificates (PAYE-AE-06-G06), 2026 issue</t>
        </is>
      </c>
      <c r="B329" s="14" t="inlineStr"/>
      <c r="C329" s="17" t="inlineStr">
        <is>
          <t>https://www.sars.gov.za/wp-content/uploads/Ops/Guides/PAYE-AE-06-G06-Guide-for-Codes-Applicable-to-Employees-Tax-Certificates-2026-External-Guide.pdf</t>
        </is>
      </c>
      <c r="D329" s="15" t="inlineStr">
        <is>
          <t>REF-2026.03.01-CODES</t>
        </is>
      </c>
      <c r="E329" s="15" t="inlineStr">
        <is>
          <t>sars_source_code</t>
        </is>
      </c>
      <c r="F329" s="14" t="inlineStr">
        <is>
          <t>SARS source code 3601 — Income (Subject to PAYE) — code group</t>
        </is>
      </c>
      <c r="G329" s="15" t="inlineStr">
        <is>
          <t>Income</t>
        </is>
      </c>
      <c r="H329" s="15" t="inlineStr"/>
      <c r="I329" s="15" t="inlineStr"/>
      <c r="J329" s="15" t="inlineStr">
        <is>
          <t>sars_source_code:1:code_group</t>
        </is>
      </c>
    </row>
    <row r="330">
      <c r="A330" s="14" t="inlineStr">
        <is>
          <t>SARS Guide for Codes Applicable to Employees Tax Certificates (PAYE-AE-06-G06), 2026 issue</t>
        </is>
      </c>
      <c r="B330" s="14" t="inlineStr"/>
      <c r="C330" s="17" t="inlineStr">
        <is>
          <t>https://www.sars.gov.za/wp-content/uploads/Ops/Guides/PAYE-AE-06-G06-Guide-for-Codes-Applicable-to-Employees-Tax-Certificates-2026-External-Guide.pdf</t>
        </is>
      </c>
      <c r="D330" s="15" t="inlineStr">
        <is>
          <t>REF-2026.03.01-CODES</t>
        </is>
      </c>
      <c r="E330" s="15" t="inlineStr">
        <is>
          <t>sars_source_code</t>
        </is>
      </c>
      <c r="F330" s="14" t="inlineStr">
        <is>
          <t>SARS source code 3601 — Income (Subject to PAYE) — description</t>
        </is>
      </c>
      <c r="G330" s="15" t="inlineStr">
        <is>
          <t>Income (Subject to PAYE)</t>
        </is>
      </c>
      <c r="H330" s="15" t="inlineStr"/>
      <c r="I330" s="15" t="inlineStr"/>
      <c r="J330" s="15" t="inlineStr">
        <is>
          <t>sars_source_code:1:description</t>
        </is>
      </c>
    </row>
    <row r="331">
      <c r="A331" s="14" t="inlineStr">
        <is>
          <t>SARS Guide for Codes Applicable to Employees Tax Certificates (PAYE-AE-06-G06), 2026 issue</t>
        </is>
      </c>
      <c r="B331" s="14" t="inlineStr"/>
      <c r="C331" s="17" t="inlineStr">
        <is>
          <t>https://www.sars.gov.za/wp-content/uploads/Ops/Guides/PAYE-AE-06-G06-Guide-for-Codes-Applicable-to-Employees-Tax-Certificates-2026-External-Guide.pdf</t>
        </is>
      </c>
      <c r="D331" s="15" t="inlineStr">
        <is>
          <t>REF-2026.03.01-CODES</t>
        </is>
      </c>
      <c r="E331" s="15" t="inlineStr">
        <is>
          <t>sars_source_code</t>
        </is>
      </c>
      <c r="F331" s="14" t="inlineStr">
        <is>
          <t>SARS source code 3601 — Income (Subject to PAYE) — is coida remuneration</t>
        </is>
      </c>
      <c r="G331" s="15" t="inlineStr">
        <is>
          <t>Yes</t>
        </is>
      </c>
      <c r="H331" s="15" t="inlineStr"/>
      <c r="I331" s="15" t="inlineStr"/>
      <c r="J331" s="15" t="inlineStr">
        <is>
          <t>sars_source_code:1:is_coida_remuneration</t>
        </is>
      </c>
    </row>
    <row r="332">
      <c r="A332" s="14" t="inlineStr">
        <is>
          <t>SARS Guide for Codes Applicable to Employees Tax Certificates (PAYE-AE-06-G06), 2026 issue</t>
        </is>
      </c>
      <c r="B332" s="14" t="inlineStr"/>
      <c r="C332" s="17" t="inlineStr">
        <is>
          <t>https://www.sars.gov.za/wp-content/uploads/Ops/Guides/PAYE-AE-06-G06-Guide-for-Codes-Applicable-to-Employees-Tax-Certificates-2026-External-Guide.pdf</t>
        </is>
      </c>
      <c r="D332" s="15" t="inlineStr">
        <is>
          <t>REF-2026.03.01-CODES</t>
        </is>
      </c>
      <c r="E332" s="15" t="inlineStr">
        <is>
          <t>sars_source_code</t>
        </is>
      </c>
      <c r="F332" s="14" t="inlineStr">
        <is>
          <t>SARS source code 3601 — Income (Subject to PAYE) — is sdl remuneration</t>
        </is>
      </c>
      <c r="G332" s="15" t="inlineStr">
        <is>
          <t>Yes</t>
        </is>
      </c>
      <c r="H332" s="15" t="inlineStr"/>
      <c r="I332" s="15" t="inlineStr"/>
      <c r="J332" s="15" t="inlineStr">
        <is>
          <t>sars_source_code:1:is_sdl_remuneration</t>
        </is>
      </c>
    </row>
    <row r="333">
      <c r="A333" s="14" t="inlineStr">
        <is>
          <t>SARS Guide for Codes Applicable to Employees Tax Certificates (PAYE-AE-06-G06), 2026 issue</t>
        </is>
      </c>
      <c r="B333" s="14" t="inlineStr"/>
      <c r="C333" s="17" t="inlineStr">
        <is>
          <t>https://www.sars.gov.za/wp-content/uploads/Ops/Guides/PAYE-AE-06-G06-Guide-for-Codes-Applicable-to-Employees-Tax-Certificates-2026-External-Guide.pdf</t>
        </is>
      </c>
      <c r="D333" s="15" t="inlineStr">
        <is>
          <t>REF-2026.03.01-CODES</t>
        </is>
      </c>
      <c r="E333" s="15" t="inlineStr">
        <is>
          <t>sars_source_code</t>
        </is>
      </c>
      <c r="F333" s="14" t="inlineStr">
        <is>
          <t>SARS source code 3601 — Income (Subject to PAYE) — is taxable</t>
        </is>
      </c>
      <c r="G333" s="15" t="inlineStr">
        <is>
          <t>Yes</t>
        </is>
      </c>
      <c r="H333" s="15" t="inlineStr"/>
      <c r="I333" s="15" t="inlineStr"/>
      <c r="J333" s="15" t="inlineStr">
        <is>
          <t>sars_source_code:1:is_taxable</t>
        </is>
      </c>
    </row>
    <row r="334">
      <c r="A334" s="14" t="inlineStr">
        <is>
          <t>SARS Guide for Codes Applicable to Employees Tax Certificates (PAYE-AE-06-G06), 2026 issue</t>
        </is>
      </c>
      <c r="B334" s="14" t="inlineStr"/>
      <c r="C334" s="17" t="inlineStr">
        <is>
          <t>https://www.sars.gov.za/wp-content/uploads/Ops/Guides/PAYE-AE-06-G06-Guide-for-Codes-Applicable-to-Employees-Tax-Certificates-2026-External-Guide.pdf</t>
        </is>
      </c>
      <c r="D334" s="15" t="inlineStr">
        <is>
          <t>REF-2026.03.01-CODES</t>
        </is>
      </c>
      <c r="E334" s="15" t="inlineStr">
        <is>
          <t>sars_source_code</t>
        </is>
      </c>
      <c r="F334" s="14" t="inlineStr">
        <is>
          <t>SARS source code 3601 — Income (Subject to PAYE) — is uif remuneration</t>
        </is>
      </c>
      <c r="G334" s="15" t="inlineStr">
        <is>
          <t>Yes</t>
        </is>
      </c>
      <c r="H334" s="15" t="inlineStr"/>
      <c r="I334" s="15" t="inlineStr"/>
      <c r="J334" s="15" t="inlineStr">
        <is>
          <t>sars_source_code:1:is_uif_remuneration</t>
        </is>
      </c>
    </row>
    <row r="335">
      <c r="A335" s="14" t="inlineStr">
        <is>
          <t>SARS Guide for Codes Applicable to Employees Tax Certificates (PAYE-AE-06-G06), 2026 issue</t>
        </is>
      </c>
      <c r="B335" s="14" t="inlineStr"/>
      <c r="C335" s="17" t="inlineStr">
        <is>
          <t>https://www.sars.gov.za/wp-content/uploads/Ops/Guides/PAYE-AE-06-G06-Guide-for-Codes-Applicable-to-Employees-Tax-Certificates-2026-External-Guide.pdf</t>
        </is>
      </c>
      <c r="D335" s="15" t="inlineStr">
        <is>
          <t>REF-2026.03.01-CODES</t>
        </is>
      </c>
      <c r="E335" s="15" t="inlineStr">
        <is>
          <t>sars_source_code</t>
        </is>
      </c>
      <c r="F335" s="14" t="inlineStr">
        <is>
          <t>SARS source code 3602 — Income (Non-taxable) — code group</t>
        </is>
      </c>
      <c r="G335" s="15" t="inlineStr">
        <is>
          <t>Income</t>
        </is>
      </c>
      <c r="H335" s="15" t="inlineStr"/>
      <c r="I335" s="15" t="inlineStr"/>
      <c r="J335" s="15" t="inlineStr">
        <is>
          <t>sars_source_code:2:code_group</t>
        </is>
      </c>
    </row>
    <row r="336">
      <c r="A336" s="14" t="inlineStr">
        <is>
          <t>SARS Guide for Codes Applicable to Employees Tax Certificates (PAYE-AE-06-G06), 2026 issue</t>
        </is>
      </c>
      <c r="B336" s="14" t="inlineStr"/>
      <c r="C336" s="17" t="inlineStr">
        <is>
          <t>https://www.sars.gov.za/wp-content/uploads/Ops/Guides/PAYE-AE-06-G06-Guide-for-Codes-Applicable-to-Employees-Tax-Certificates-2026-External-Guide.pdf</t>
        </is>
      </c>
      <c r="D336" s="15" t="inlineStr">
        <is>
          <t>REF-2026.03.01-CODES</t>
        </is>
      </c>
      <c r="E336" s="15" t="inlineStr">
        <is>
          <t>sars_source_code</t>
        </is>
      </c>
      <c r="F336" s="14" t="inlineStr">
        <is>
          <t>SARS source code 3602 — Income (Non-taxable) — description</t>
        </is>
      </c>
      <c r="G336" s="15" t="inlineStr">
        <is>
          <t>Income (Non-taxable)</t>
        </is>
      </c>
      <c r="H336" s="15" t="inlineStr"/>
      <c r="I336" s="15" t="inlineStr"/>
      <c r="J336" s="15" t="inlineStr">
        <is>
          <t>sars_source_code:2:description</t>
        </is>
      </c>
    </row>
    <row r="337">
      <c r="A337" s="14" t="inlineStr">
        <is>
          <t>SARS Guide for Codes Applicable to Employees Tax Certificates (PAYE-AE-06-G06), 2026 issue</t>
        </is>
      </c>
      <c r="B337" s="14" t="inlineStr"/>
      <c r="C337" s="17" t="inlineStr">
        <is>
          <t>https://www.sars.gov.za/wp-content/uploads/Ops/Guides/PAYE-AE-06-G06-Guide-for-Codes-Applicable-to-Employees-Tax-Certificates-2026-External-Guide.pdf</t>
        </is>
      </c>
      <c r="D337" s="15" t="inlineStr">
        <is>
          <t>REF-2026.03.01-CODES</t>
        </is>
      </c>
      <c r="E337" s="15" t="inlineStr">
        <is>
          <t>sars_source_code</t>
        </is>
      </c>
      <c r="F337" s="14" t="inlineStr">
        <is>
          <t>SARS source code 3602 — Income (Non-taxable) — is coida remuneration</t>
        </is>
      </c>
      <c r="G337" s="15" t="inlineStr">
        <is>
          <t>No</t>
        </is>
      </c>
      <c r="H337" s="15" t="inlineStr"/>
      <c r="I337" s="15" t="inlineStr"/>
      <c r="J337" s="15" t="inlineStr">
        <is>
          <t>sars_source_code:2:is_coida_remuneration</t>
        </is>
      </c>
    </row>
    <row r="338">
      <c r="A338" s="14" t="inlineStr">
        <is>
          <t>SARS Guide for Codes Applicable to Employees Tax Certificates (PAYE-AE-06-G06), 2026 issue</t>
        </is>
      </c>
      <c r="B338" s="14" t="inlineStr"/>
      <c r="C338" s="17" t="inlineStr">
        <is>
          <t>https://www.sars.gov.za/wp-content/uploads/Ops/Guides/PAYE-AE-06-G06-Guide-for-Codes-Applicable-to-Employees-Tax-Certificates-2026-External-Guide.pdf</t>
        </is>
      </c>
      <c r="D338" s="15" t="inlineStr">
        <is>
          <t>REF-2026.03.01-CODES</t>
        </is>
      </c>
      <c r="E338" s="15" t="inlineStr">
        <is>
          <t>sars_source_code</t>
        </is>
      </c>
      <c r="F338" s="14" t="inlineStr">
        <is>
          <t>SARS source code 3602 — Income (Non-taxable) — is sdl remuneration</t>
        </is>
      </c>
      <c r="G338" s="15" t="inlineStr">
        <is>
          <t>No</t>
        </is>
      </c>
      <c r="H338" s="15" t="inlineStr"/>
      <c r="I338" s="15" t="inlineStr"/>
      <c r="J338" s="15" t="inlineStr">
        <is>
          <t>sars_source_code:2:is_sdl_remuneration</t>
        </is>
      </c>
    </row>
    <row r="339">
      <c r="A339" s="14" t="inlineStr">
        <is>
          <t>SARS Guide for Codes Applicable to Employees Tax Certificates (PAYE-AE-06-G06), 2026 issue</t>
        </is>
      </c>
      <c r="B339" s="14" t="inlineStr"/>
      <c r="C339" s="17" t="inlineStr">
        <is>
          <t>https://www.sars.gov.za/wp-content/uploads/Ops/Guides/PAYE-AE-06-G06-Guide-for-Codes-Applicable-to-Employees-Tax-Certificates-2026-External-Guide.pdf</t>
        </is>
      </c>
      <c r="D339" s="15" t="inlineStr">
        <is>
          <t>REF-2026.03.01-CODES</t>
        </is>
      </c>
      <c r="E339" s="15" t="inlineStr">
        <is>
          <t>sars_source_code</t>
        </is>
      </c>
      <c r="F339" s="14" t="inlineStr">
        <is>
          <t>SARS source code 3602 — Income (Non-taxable) — is taxable</t>
        </is>
      </c>
      <c r="G339" s="15" t="inlineStr">
        <is>
          <t>No</t>
        </is>
      </c>
      <c r="H339" s="15" t="inlineStr"/>
      <c r="I339" s="15" t="inlineStr"/>
      <c r="J339" s="15" t="inlineStr">
        <is>
          <t>sars_source_code:2:is_taxable</t>
        </is>
      </c>
    </row>
    <row r="340">
      <c r="A340" s="14" t="inlineStr">
        <is>
          <t>SARS Guide for Codes Applicable to Employees Tax Certificates (PAYE-AE-06-G06), 2026 issue</t>
        </is>
      </c>
      <c r="B340" s="14" t="inlineStr"/>
      <c r="C340" s="17" t="inlineStr">
        <is>
          <t>https://www.sars.gov.za/wp-content/uploads/Ops/Guides/PAYE-AE-06-G06-Guide-for-Codes-Applicable-to-Employees-Tax-Certificates-2026-External-Guide.pdf</t>
        </is>
      </c>
      <c r="D340" s="15" t="inlineStr">
        <is>
          <t>REF-2026.03.01-CODES</t>
        </is>
      </c>
      <c r="E340" s="15" t="inlineStr">
        <is>
          <t>sars_source_code</t>
        </is>
      </c>
      <c r="F340" s="14" t="inlineStr">
        <is>
          <t>SARS source code 3602 — Income (Non-taxable) — is uif remuneration</t>
        </is>
      </c>
      <c r="G340" s="15" t="inlineStr">
        <is>
          <t>No</t>
        </is>
      </c>
      <c r="H340" s="15" t="inlineStr"/>
      <c r="I340" s="15" t="inlineStr"/>
      <c r="J340" s="15" t="inlineStr">
        <is>
          <t>sars_source_code:2:is_uif_remuneration</t>
        </is>
      </c>
    </row>
    <row r="341">
      <c r="A341" s="14" t="inlineStr">
        <is>
          <t>SARS Guide for Codes Applicable to Employees Tax Certificates (PAYE-AE-06-G06), 2026 issue</t>
        </is>
      </c>
      <c r="B341" s="14" t="inlineStr"/>
      <c r="C341" s="17" t="inlineStr">
        <is>
          <t>https://www.sars.gov.za/wp-content/uploads/Ops/Guides/PAYE-AE-06-G06-Guide-for-Codes-Applicable-to-Employees-Tax-Certificates-2026-External-Guide.pdf</t>
        </is>
      </c>
      <c r="D341" s="15" t="inlineStr">
        <is>
          <t>REF-2026.03.01-CODES</t>
        </is>
      </c>
      <c r="E341" s="15" t="inlineStr">
        <is>
          <t>sars_source_code</t>
        </is>
      </c>
      <c r="F341" s="14" t="inlineStr">
        <is>
          <t>SARS source code 3605 — Annual payment (Subject to PAYE) — code group</t>
        </is>
      </c>
      <c r="G341" s="15" t="inlineStr">
        <is>
          <t>Income</t>
        </is>
      </c>
      <c r="H341" s="15" t="inlineStr"/>
      <c r="I341" s="15" t="inlineStr"/>
      <c r="J341" s="15" t="inlineStr">
        <is>
          <t>sars_source_code:3:code_group</t>
        </is>
      </c>
    </row>
    <row r="342">
      <c r="A342" s="14" t="inlineStr">
        <is>
          <t>SARS Guide for Codes Applicable to Employees Tax Certificates (PAYE-AE-06-G06), 2026 issue</t>
        </is>
      </c>
      <c r="B342" s="14" t="inlineStr"/>
      <c r="C342" s="17" t="inlineStr">
        <is>
          <t>https://www.sars.gov.za/wp-content/uploads/Ops/Guides/PAYE-AE-06-G06-Guide-for-Codes-Applicable-to-Employees-Tax-Certificates-2026-External-Guide.pdf</t>
        </is>
      </c>
      <c r="D342" s="15" t="inlineStr">
        <is>
          <t>REF-2026.03.01-CODES</t>
        </is>
      </c>
      <c r="E342" s="15" t="inlineStr">
        <is>
          <t>sars_source_code</t>
        </is>
      </c>
      <c r="F342" s="14" t="inlineStr">
        <is>
          <t>SARS source code 3605 — Annual payment (Subject to PAYE) — description</t>
        </is>
      </c>
      <c r="G342" s="15" t="inlineStr">
        <is>
          <t>Annual payment (Subject to PAYE)</t>
        </is>
      </c>
      <c r="H342" s="15" t="inlineStr"/>
      <c r="I342" s="15" t="inlineStr"/>
      <c r="J342" s="15" t="inlineStr">
        <is>
          <t>sars_source_code:3:description</t>
        </is>
      </c>
    </row>
    <row r="343">
      <c r="A343" s="14" t="inlineStr">
        <is>
          <t>SARS Guide for Codes Applicable to Employees Tax Certificates (PAYE-AE-06-G06), 2026 issue</t>
        </is>
      </c>
      <c r="B343" s="14" t="inlineStr"/>
      <c r="C343" s="17" t="inlineStr">
        <is>
          <t>https://www.sars.gov.za/wp-content/uploads/Ops/Guides/PAYE-AE-06-G06-Guide-for-Codes-Applicable-to-Employees-Tax-Certificates-2026-External-Guide.pdf</t>
        </is>
      </c>
      <c r="D343" s="15" t="inlineStr">
        <is>
          <t>REF-2026.03.01-CODES</t>
        </is>
      </c>
      <c r="E343" s="15" t="inlineStr">
        <is>
          <t>sars_source_code</t>
        </is>
      </c>
      <c r="F343" s="14" t="inlineStr">
        <is>
          <t>SARS source code 3605 — Annual payment (Subject to PAYE) — is coida remuneration</t>
        </is>
      </c>
      <c r="G343" s="15" t="inlineStr">
        <is>
          <t>Yes</t>
        </is>
      </c>
      <c r="H343" s="15" t="inlineStr"/>
      <c r="I343" s="15" t="inlineStr"/>
      <c r="J343" s="15" t="inlineStr">
        <is>
          <t>sars_source_code:3:is_coida_remuneration</t>
        </is>
      </c>
    </row>
    <row r="344">
      <c r="A344" s="14" t="inlineStr">
        <is>
          <t>SARS Guide for Codes Applicable to Employees Tax Certificates (PAYE-AE-06-G06), 2026 issue</t>
        </is>
      </c>
      <c r="B344" s="14" t="inlineStr"/>
      <c r="C344" s="17" t="inlineStr">
        <is>
          <t>https://www.sars.gov.za/wp-content/uploads/Ops/Guides/PAYE-AE-06-G06-Guide-for-Codes-Applicable-to-Employees-Tax-Certificates-2026-External-Guide.pdf</t>
        </is>
      </c>
      <c r="D344" s="15" t="inlineStr">
        <is>
          <t>REF-2026.03.01-CODES</t>
        </is>
      </c>
      <c r="E344" s="15" t="inlineStr">
        <is>
          <t>sars_source_code</t>
        </is>
      </c>
      <c r="F344" s="14" t="inlineStr">
        <is>
          <t>SARS source code 3605 — Annual payment (Subject to PAYE) — is sdl remuneration</t>
        </is>
      </c>
      <c r="G344" s="15" t="inlineStr">
        <is>
          <t>Yes</t>
        </is>
      </c>
      <c r="H344" s="15" t="inlineStr"/>
      <c r="I344" s="15" t="inlineStr"/>
      <c r="J344" s="15" t="inlineStr">
        <is>
          <t>sars_source_code:3:is_sdl_remuneration</t>
        </is>
      </c>
    </row>
    <row r="345">
      <c r="A345" s="14" t="inlineStr">
        <is>
          <t>SARS Guide for Codes Applicable to Employees Tax Certificates (PAYE-AE-06-G06), 2026 issue</t>
        </is>
      </c>
      <c r="B345" s="14" t="inlineStr"/>
      <c r="C345" s="17" t="inlineStr">
        <is>
          <t>https://www.sars.gov.za/wp-content/uploads/Ops/Guides/PAYE-AE-06-G06-Guide-for-Codes-Applicable-to-Employees-Tax-Certificates-2026-External-Guide.pdf</t>
        </is>
      </c>
      <c r="D345" s="15" t="inlineStr">
        <is>
          <t>REF-2026.03.01-CODES</t>
        </is>
      </c>
      <c r="E345" s="15" t="inlineStr">
        <is>
          <t>sars_source_code</t>
        </is>
      </c>
      <c r="F345" s="14" t="inlineStr">
        <is>
          <t>SARS source code 3605 — Annual payment (Subject to PAYE) — is taxable</t>
        </is>
      </c>
      <c r="G345" s="15" t="inlineStr">
        <is>
          <t>Yes</t>
        </is>
      </c>
      <c r="H345" s="15" t="inlineStr"/>
      <c r="I345" s="15" t="inlineStr"/>
      <c r="J345" s="15" t="inlineStr">
        <is>
          <t>sars_source_code:3:is_taxable</t>
        </is>
      </c>
    </row>
    <row r="346">
      <c r="A346" s="14" t="inlineStr">
        <is>
          <t>SARS Guide for Codes Applicable to Employees Tax Certificates (PAYE-AE-06-G06), 2026 issue</t>
        </is>
      </c>
      <c r="B346" s="14" t="inlineStr"/>
      <c r="C346" s="17" t="inlineStr">
        <is>
          <t>https://www.sars.gov.za/wp-content/uploads/Ops/Guides/PAYE-AE-06-G06-Guide-for-Codes-Applicable-to-Employees-Tax-Certificates-2026-External-Guide.pdf</t>
        </is>
      </c>
      <c r="D346" s="15" t="inlineStr">
        <is>
          <t>REF-2026.03.01-CODES</t>
        </is>
      </c>
      <c r="E346" s="15" t="inlineStr">
        <is>
          <t>sars_source_code</t>
        </is>
      </c>
      <c r="F346" s="14" t="inlineStr">
        <is>
          <t>SARS source code 3605 — Annual payment (Subject to PAYE) — is uif remuneration</t>
        </is>
      </c>
      <c r="G346" s="15" t="inlineStr">
        <is>
          <t>Yes</t>
        </is>
      </c>
      <c r="H346" s="15" t="inlineStr"/>
      <c r="I346" s="15" t="inlineStr"/>
      <c r="J346" s="15" t="inlineStr">
        <is>
          <t>sars_source_code:3:is_uif_remuneration</t>
        </is>
      </c>
    </row>
    <row r="347">
      <c r="A347" s="14" t="inlineStr">
        <is>
          <t>SARS Guide for Codes Applicable to Employees Tax Certificates (PAYE-AE-06-G06), 2026 issue</t>
        </is>
      </c>
      <c r="B347" s="14" t="inlineStr"/>
      <c r="C347" s="17" t="inlineStr">
        <is>
          <t>https://www.sars.gov.za/wp-content/uploads/Ops/Guides/PAYE-AE-06-G06-Guide-for-Codes-Applicable-to-Employees-Tax-Certificates-2026-External-Guide.pdf</t>
        </is>
      </c>
      <c r="D347" s="15" t="inlineStr">
        <is>
          <t>REF-2026.03.01-CODES</t>
        </is>
      </c>
      <c r="E347" s="15" t="inlineStr">
        <is>
          <t>sars_source_code</t>
        </is>
      </c>
      <c r="F347" s="14" t="inlineStr">
        <is>
          <t>SARS source code 3606 — Commission (Subject to PAYE) — code group</t>
        </is>
      </c>
      <c r="G347" s="15" t="inlineStr">
        <is>
          <t>Income</t>
        </is>
      </c>
      <c r="H347" s="15" t="inlineStr"/>
      <c r="I347" s="15" t="inlineStr"/>
      <c r="J347" s="15" t="inlineStr">
        <is>
          <t>sars_source_code:4:code_group</t>
        </is>
      </c>
    </row>
    <row r="348">
      <c r="A348" s="14" t="inlineStr">
        <is>
          <t>SARS Guide for Codes Applicable to Employees Tax Certificates (PAYE-AE-06-G06), 2026 issue</t>
        </is>
      </c>
      <c r="B348" s="14" t="inlineStr"/>
      <c r="C348" s="17" t="inlineStr">
        <is>
          <t>https://www.sars.gov.za/wp-content/uploads/Ops/Guides/PAYE-AE-06-G06-Guide-for-Codes-Applicable-to-Employees-Tax-Certificates-2026-External-Guide.pdf</t>
        </is>
      </c>
      <c r="D348" s="15" t="inlineStr">
        <is>
          <t>REF-2026.03.01-CODES</t>
        </is>
      </c>
      <c r="E348" s="15" t="inlineStr">
        <is>
          <t>sars_source_code</t>
        </is>
      </c>
      <c r="F348" s="14" t="inlineStr">
        <is>
          <t>SARS source code 3606 — Commission (Subject to PAYE) — description</t>
        </is>
      </c>
      <c r="G348" s="15" t="inlineStr">
        <is>
          <t>Commission (Subject to PAYE)</t>
        </is>
      </c>
      <c r="H348" s="15" t="inlineStr"/>
      <c r="I348" s="15" t="inlineStr"/>
      <c r="J348" s="15" t="inlineStr">
        <is>
          <t>sars_source_code:4:description</t>
        </is>
      </c>
    </row>
    <row r="349">
      <c r="A349" s="14" t="inlineStr">
        <is>
          <t>SARS Guide for Codes Applicable to Employees Tax Certificates (PAYE-AE-06-G06), 2026 issue</t>
        </is>
      </c>
      <c r="B349" s="14" t="inlineStr"/>
      <c r="C349" s="17" t="inlineStr">
        <is>
          <t>https://www.sars.gov.za/wp-content/uploads/Ops/Guides/PAYE-AE-06-G06-Guide-for-Codes-Applicable-to-Employees-Tax-Certificates-2026-External-Guide.pdf</t>
        </is>
      </c>
      <c r="D349" s="15" t="inlineStr">
        <is>
          <t>REF-2026.03.01-CODES</t>
        </is>
      </c>
      <c r="E349" s="15" t="inlineStr">
        <is>
          <t>sars_source_code</t>
        </is>
      </c>
      <c r="F349" s="14" t="inlineStr">
        <is>
          <t>SARS source code 3606 — Commission (Subject to PAYE) — is coida remuneration</t>
        </is>
      </c>
      <c r="G349" s="15" t="inlineStr">
        <is>
          <t>Yes</t>
        </is>
      </c>
      <c r="H349" s="15" t="inlineStr"/>
      <c r="I349" s="15" t="inlineStr"/>
      <c r="J349" s="15" t="inlineStr">
        <is>
          <t>sars_source_code:4:is_coida_remuneration</t>
        </is>
      </c>
    </row>
    <row r="350">
      <c r="A350" s="14" t="inlineStr">
        <is>
          <t>SARS Guide for Codes Applicable to Employees Tax Certificates (PAYE-AE-06-G06), 2026 issue</t>
        </is>
      </c>
      <c r="B350" s="14" t="inlineStr"/>
      <c r="C350" s="17" t="inlineStr">
        <is>
          <t>https://www.sars.gov.za/wp-content/uploads/Ops/Guides/PAYE-AE-06-G06-Guide-for-Codes-Applicable-to-Employees-Tax-Certificates-2026-External-Guide.pdf</t>
        </is>
      </c>
      <c r="D350" s="15" t="inlineStr">
        <is>
          <t>REF-2026.03.01-CODES</t>
        </is>
      </c>
      <c r="E350" s="15" t="inlineStr">
        <is>
          <t>sars_source_code</t>
        </is>
      </c>
      <c r="F350" s="14" t="inlineStr">
        <is>
          <t>SARS source code 3606 — Commission (Subject to PAYE) — is sdl remuneration</t>
        </is>
      </c>
      <c r="G350" s="15" t="inlineStr">
        <is>
          <t>Yes</t>
        </is>
      </c>
      <c r="H350" s="15" t="inlineStr"/>
      <c r="I350" s="15" t="inlineStr"/>
      <c r="J350" s="15" t="inlineStr">
        <is>
          <t>sars_source_code:4:is_sdl_remuneration</t>
        </is>
      </c>
    </row>
    <row r="351">
      <c r="A351" s="14" t="inlineStr">
        <is>
          <t>SARS Guide for Codes Applicable to Employees Tax Certificates (PAYE-AE-06-G06), 2026 issue</t>
        </is>
      </c>
      <c r="B351" s="14" t="inlineStr"/>
      <c r="C351" s="17" t="inlineStr">
        <is>
          <t>https://www.sars.gov.za/wp-content/uploads/Ops/Guides/PAYE-AE-06-G06-Guide-for-Codes-Applicable-to-Employees-Tax-Certificates-2026-External-Guide.pdf</t>
        </is>
      </c>
      <c r="D351" s="15" t="inlineStr">
        <is>
          <t>REF-2026.03.01-CODES</t>
        </is>
      </c>
      <c r="E351" s="15" t="inlineStr">
        <is>
          <t>sars_source_code</t>
        </is>
      </c>
      <c r="F351" s="14" t="inlineStr">
        <is>
          <t>SARS source code 3606 — Commission (Subject to PAYE) — is taxable</t>
        </is>
      </c>
      <c r="G351" s="15" t="inlineStr">
        <is>
          <t>Yes</t>
        </is>
      </c>
      <c r="H351" s="15" t="inlineStr"/>
      <c r="I351" s="15" t="inlineStr"/>
      <c r="J351" s="15" t="inlineStr">
        <is>
          <t>sars_source_code:4:is_taxable</t>
        </is>
      </c>
    </row>
    <row r="352">
      <c r="A352" s="14" t="inlineStr">
        <is>
          <t>SARS Guide for Codes Applicable to Employees Tax Certificates (PAYE-AE-06-G06), 2026 issue</t>
        </is>
      </c>
      <c r="B352" s="14" t="inlineStr"/>
      <c r="C352" s="17" t="inlineStr">
        <is>
          <t>https://www.sars.gov.za/wp-content/uploads/Ops/Guides/PAYE-AE-06-G06-Guide-for-Codes-Applicable-to-Employees-Tax-Certificates-2026-External-Guide.pdf</t>
        </is>
      </c>
      <c r="D352" s="15" t="inlineStr">
        <is>
          <t>REF-2026.03.01-CODES</t>
        </is>
      </c>
      <c r="E352" s="15" t="inlineStr">
        <is>
          <t>sars_source_code</t>
        </is>
      </c>
      <c r="F352" s="14" t="inlineStr">
        <is>
          <t>SARS source code 3606 — Commission (Subject to PAYE) — is uif remuneration</t>
        </is>
      </c>
      <c r="G352" s="15" t="inlineStr">
        <is>
          <t>No</t>
        </is>
      </c>
      <c r="H352" s="15" t="inlineStr"/>
      <c r="I352" s="15" t="inlineStr"/>
      <c r="J352" s="15" t="inlineStr">
        <is>
          <t>sars_source_code:4:is_uif_remuneration</t>
        </is>
      </c>
    </row>
    <row r="353">
      <c r="A353" s="14" t="inlineStr">
        <is>
          <t>SARS Guide for Codes Applicable to Employees Tax Certificates (PAYE-AE-06-G06), 2026 issue</t>
        </is>
      </c>
      <c r="B353" s="14" t="inlineStr"/>
      <c r="C353" s="17" t="inlineStr">
        <is>
          <t>https://www.sars.gov.za/wp-content/uploads/Ops/Guides/PAYE-AE-06-G06-Guide-for-Codes-Applicable-to-Employees-Tax-Certificates-2026-External-Guide.pdf</t>
        </is>
      </c>
      <c r="D353" s="15" t="inlineStr">
        <is>
          <t>REF-2026.03.01-CODES</t>
        </is>
      </c>
      <c r="E353" s="15" t="inlineStr">
        <is>
          <t>sars_source_code</t>
        </is>
      </c>
      <c r="F353" s="14" t="inlineStr">
        <is>
          <t>SARS source code 3607 — Overtime (Subject to PAYE) — code group</t>
        </is>
      </c>
      <c r="G353" s="15" t="inlineStr">
        <is>
          <t>Income</t>
        </is>
      </c>
      <c r="H353" s="15" t="inlineStr"/>
      <c r="I353" s="15" t="inlineStr"/>
      <c r="J353" s="15" t="inlineStr">
        <is>
          <t>sars_source_code:5:code_group</t>
        </is>
      </c>
    </row>
    <row r="354">
      <c r="A354" s="14" t="inlineStr">
        <is>
          <t>SARS Guide for Codes Applicable to Employees Tax Certificates (PAYE-AE-06-G06), 2026 issue</t>
        </is>
      </c>
      <c r="B354" s="14" t="inlineStr"/>
      <c r="C354" s="17" t="inlineStr">
        <is>
          <t>https://www.sars.gov.za/wp-content/uploads/Ops/Guides/PAYE-AE-06-G06-Guide-for-Codes-Applicable-to-Employees-Tax-Certificates-2026-External-Guide.pdf</t>
        </is>
      </c>
      <c r="D354" s="15" t="inlineStr">
        <is>
          <t>REF-2026.03.01-CODES</t>
        </is>
      </c>
      <c r="E354" s="15" t="inlineStr">
        <is>
          <t>sars_source_code</t>
        </is>
      </c>
      <c r="F354" s="14" t="inlineStr">
        <is>
          <t>SARS source code 3607 — Overtime (Subject to PAYE) — description</t>
        </is>
      </c>
      <c r="G354" s="15" t="inlineStr">
        <is>
          <t>Overtime (Subject to PAYE)</t>
        </is>
      </c>
      <c r="H354" s="15" t="inlineStr"/>
      <c r="I354" s="15" t="inlineStr"/>
      <c r="J354" s="15" t="inlineStr">
        <is>
          <t>sars_source_code:5:description</t>
        </is>
      </c>
    </row>
    <row r="355">
      <c r="A355" s="14" t="inlineStr">
        <is>
          <t>SARS Guide for Codes Applicable to Employees Tax Certificates (PAYE-AE-06-G06), 2026 issue</t>
        </is>
      </c>
      <c r="B355" s="14" t="inlineStr"/>
      <c r="C355" s="17" t="inlineStr">
        <is>
          <t>https://www.sars.gov.za/wp-content/uploads/Ops/Guides/PAYE-AE-06-G06-Guide-for-Codes-Applicable-to-Employees-Tax-Certificates-2026-External-Guide.pdf</t>
        </is>
      </c>
      <c r="D355" s="15" t="inlineStr">
        <is>
          <t>REF-2026.03.01-CODES</t>
        </is>
      </c>
      <c r="E355" s="15" t="inlineStr">
        <is>
          <t>sars_source_code</t>
        </is>
      </c>
      <c r="F355" s="14" t="inlineStr">
        <is>
          <t>SARS source code 3607 — Overtime (Subject to PAYE) — is coida remuneration</t>
        </is>
      </c>
      <c r="G355" s="15" t="inlineStr">
        <is>
          <t>Yes</t>
        </is>
      </c>
      <c r="H355" s="15" t="inlineStr"/>
      <c r="I355" s="15" t="inlineStr"/>
      <c r="J355" s="15" t="inlineStr">
        <is>
          <t>sars_source_code:5:is_coida_remuneration</t>
        </is>
      </c>
    </row>
    <row r="356">
      <c r="A356" s="14" t="inlineStr">
        <is>
          <t>SARS Guide for Codes Applicable to Employees Tax Certificates (PAYE-AE-06-G06), 2026 issue</t>
        </is>
      </c>
      <c r="B356" s="14" t="inlineStr"/>
      <c r="C356" s="17" t="inlineStr">
        <is>
          <t>https://www.sars.gov.za/wp-content/uploads/Ops/Guides/PAYE-AE-06-G06-Guide-for-Codes-Applicable-to-Employees-Tax-Certificates-2026-External-Guide.pdf</t>
        </is>
      </c>
      <c r="D356" s="15" t="inlineStr">
        <is>
          <t>REF-2026.03.01-CODES</t>
        </is>
      </c>
      <c r="E356" s="15" t="inlineStr">
        <is>
          <t>sars_source_code</t>
        </is>
      </c>
      <c r="F356" s="14" t="inlineStr">
        <is>
          <t>SARS source code 3607 — Overtime (Subject to PAYE) — is sdl remuneration</t>
        </is>
      </c>
      <c r="G356" s="15" t="inlineStr">
        <is>
          <t>Yes</t>
        </is>
      </c>
      <c r="H356" s="15" t="inlineStr"/>
      <c r="I356" s="15" t="inlineStr"/>
      <c r="J356" s="15" t="inlineStr">
        <is>
          <t>sars_source_code:5:is_sdl_remuneration</t>
        </is>
      </c>
    </row>
    <row r="357">
      <c r="A357" s="14" t="inlineStr">
        <is>
          <t>SARS Guide for Codes Applicable to Employees Tax Certificates (PAYE-AE-06-G06), 2026 issue</t>
        </is>
      </c>
      <c r="B357" s="14" t="inlineStr"/>
      <c r="C357" s="17" t="inlineStr">
        <is>
          <t>https://www.sars.gov.za/wp-content/uploads/Ops/Guides/PAYE-AE-06-G06-Guide-for-Codes-Applicable-to-Employees-Tax-Certificates-2026-External-Guide.pdf</t>
        </is>
      </c>
      <c r="D357" s="15" t="inlineStr">
        <is>
          <t>REF-2026.03.01-CODES</t>
        </is>
      </c>
      <c r="E357" s="15" t="inlineStr">
        <is>
          <t>sars_source_code</t>
        </is>
      </c>
      <c r="F357" s="14" t="inlineStr">
        <is>
          <t>SARS source code 3607 — Overtime (Subject to PAYE) — is taxable</t>
        </is>
      </c>
      <c r="G357" s="15" t="inlineStr">
        <is>
          <t>Yes</t>
        </is>
      </c>
      <c r="H357" s="15" t="inlineStr"/>
      <c r="I357" s="15" t="inlineStr"/>
      <c r="J357" s="15" t="inlineStr">
        <is>
          <t>sars_source_code:5:is_taxable</t>
        </is>
      </c>
    </row>
    <row r="358">
      <c r="A358" s="14" t="inlineStr">
        <is>
          <t>SARS Guide for Codes Applicable to Employees Tax Certificates (PAYE-AE-06-G06), 2026 issue</t>
        </is>
      </c>
      <c r="B358" s="14" t="inlineStr"/>
      <c r="C358" s="17" t="inlineStr">
        <is>
          <t>https://www.sars.gov.za/wp-content/uploads/Ops/Guides/PAYE-AE-06-G06-Guide-for-Codes-Applicable-to-Employees-Tax-Certificates-2026-External-Guide.pdf</t>
        </is>
      </c>
      <c r="D358" s="15" t="inlineStr">
        <is>
          <t>REF-2026.03.01-CODES</t>
        </is>
      </c>
      <c r="E358" s="15" t="inlineStr">
        <is>
          <t>sars_source_code</t>
        </is>
      </c>
      <c r="F358" s="14" t="inlineStr">
        <is>
          <t>SARS source code 3607 — Overtime (Subject to PAYE) — is uif remuneration</t>
        </is>
      </c>
      <c r="G358" s="15" t="inlineStr">
        <is>
          <t>Yes</t>
        </is>
      </c>
      <c r="H358" s="15" t="inlineStr"/>
      <c r="I358" s="15" t="inlineStr"/>
      <c r="J358" s="15" t="inlineStr">
        <is>
          <t>sars_source_code:5:is_uif_remuneration</t>
        </is>
      </c>
    </row>
    <row r="359">
      <c r="A359" s="14" t="inlineStr">
        <is>
          <t>SARS Guide for Codes Applicable to Employees Tax Certificates (PAYE-AE-06-G06), 2026 issue</t>
        </is>
      </c>
      <c r="B359" s="14" t="inlineStr"/>
      <c r="C359" s="17" t="inlineStr">
        <is>
          <t>https://www.sars.gov.za/wp-content/uploads/Ops/Guides/PAYE-AE-06-G06-Guide-for-Codes-Applicable-to-Employees-Tax-Certificates-2026-External-Guide.pdf</t>
        </is>
      </c>
      <c r="D359" s="15" t="inlineStr">
        <is>
          <t>REF-2026.03.01-CODES</t>
        </is>
      </c>
      <c r="E359" s="15" t="inlineStr">
        <is>
          <t>sars_source_code</t>
        </is>
      </c>
      <c r="F359" s="14" t="inlineStr">
        <is>
          <t>SARS source code 3713 — Other allowances (Subject to PAYE) — code group</t>
        </is>
      </c>
      <c r="G359" s="15" t="inlineStr">
        <is>
          <t>Allowance</t>
        </is>
      </c>
      <c r="H359" s="15" t="inlineStr"/>
      <c r="I359" s="15" t="inlineStr"/>
      <c r="J359" s="15" t="inlineStr">
        <is>
          <t>sars_source_code:6:code_group</t>
        </is>
      </c>
    </row>
    <row r="360">
      <c r="A360" s="14" t="inlineStr">
        <is>
          <t>SARS Guide for Codes Applicable to Employees Tax Certificates (PAYE-AE-06-G06), 2026 issue</t>
        </is>
      </c>
      <c r="B360" s="14" t="inlineStr"/>
      <c r="C360" s="17" t="inlineStr">
        <is>
          <t>https://www.sars.gov.za/wp-content/uploads/Ops/Guides/PAYE-AE-06-G06-Guide-for-Codes-Applicable-to-Employees-Tax-Certificates-2026-External-Guide.pdf</t>
        </is>
      </c>
      <c r="D360" s="15" t="inlineStr">
        <is>
          <t>REF-2026.03.01-CODES</t>
        </is>
      </c>
      <c r="E360" s="15" t="inlineStr">
        <is>
          <t>sars_source_code</t>
        </is>
      </c>
      <c r="F360" s="14" t="inlineStr">
        <is>
          <t>SARS source code 3713 — Other allowances (Subject to PAYE) — description</t>
        </is>
      </c>
      <c r="G360" s="15" t="inlineStr">
        <is>
          <t>Other allowances (Subject to PAYE)</t>
        </is>
      </c>
      <c r="H360" s="15" t="inlineStr"/>
      <c r="I360" s="15" t="inlineStr"/>
      <c r="J360" s="15" t="inlineStr">
        <is>
          <t>sars_source_code:6:description</t>
        </is>
      </c>
    </row>
    <row r="361">
      <c r="A361" s="14" t="inlineStr">
        <is>
          <t>SARS Guide for Codes Applicable to Employees Tax Certificates (PAYE-AE-06-G06), 2026 issue</t>
        </is>
      </c>
      <c r="B361" s="14" t="inlineStr"/>
      <c r="C361" s="17" t="inlineStr">
        <is>
          <t>https://www.sars.gov.za/wp-content/uploads/Ops/Guides/PAYE-AE-06-G06-Guide-for-Codes-Applicable-to-Employees-Tax-Certificates-2026-External-Guide.pdf</t>
        </is>
      </c>
      <c r="D361" s="15" t="inlineStr">
        <is>
          <t>REF-2026.03.01-CODES</t>
        </is>
      </c>
      <c r="E361" s="15" t="inlineStr">
        <is>
          <t>sars_source_code</t>
        </is>
      </c>
      <c r="F361" s="14" t="inlineStr">
        <is>
          <t>SARS source code 3713 — Other allowances (Subject to PAYE) — is coida remuneration</t>
        </is>
      </c>
      <c r="G361" s="15" t="inlineStr">
        <is>
          <t>Yes</t>
        </is>
      </c>
      <c r="H361" s="15" t="inlineStr"/>
      <c r="I361" s="15" t="inlineStr"/>
      <c r="J361" s="15" t="inlineStr">
        <is>
          <t>sars_source_code:6:is_coida_remuneration</t>
        </is>
      </c>
    </row>
    <row r="362">
      <c r="A362" s="14" t="inlineStr">
        <is>
          <t>SARS Guide for Codes Applicable to Employees Tax Certificates (PAYE-AE-06-G06), 2026 issue</t>
        </is>
      </c>
      <c r="B362" s="14" t="inlineStr"/>
      <c r="C362" s="17" t="inlineStr">
        <is>
          <t>https://www.sars.gov.za/wp-content/uploads/Ops/Guides/PAYE-AE-06-G06-Guide-for-Codes-Applicable-to-Employees-Tax-Certificates-2026-External-Guide.pdf</t>
        </is>
      </c>
      <c r="D362" s="15" t="inlineStr">
        <is>
          <t>REF-2026.03.01-CODES</t>
        </is>
      </c>
      <c r="E362" s="15" t="inlineStr">
        <is>
          <t>sars_source_code</t>
        </is>
      </c>
      <c r="F362" s="14" t="inlineStr">
        <is>
          <t>SARS source code 3713 — Other allowances (Subject to PAYE) — is sdl remuneration</t>
        </is>
      </c>
      <c r="G362" s="15" t="inlineStr">
        <is>
          <t>Yes</t>
        </is>
      </c>
      <c r="H362" s="15" t="inlineStr"/>
      <c r="I362" s="15" t="inlineStr"/>
      <c r="J362" s="15" t="inlineStr">
        <is>
          <t>sars_source_code:6:is_sdl_remuneration</t>
        </is>
      </c>
    </row>
    <row r="363">
      <c r="A363" s="14" t="inlineStr">
        <is>
          <t>SARS Guide for Codes Applicable to Employees Tax Certificates (PAYE-AE-06-G06), 2026 issue</t>
        </is>
      </c>
      <c r="B363" s="14" t="inlineStr"/>
      <c r="C363" s="17" t="inlineStr">
        <is>
          <t>https://www.sars.gov.za/wp-content/uploads/Ops/Guides/PAYE-AE-06-G06-Guide-for-Codes-Applicable-to-Employees-Tax-Certificates-2026-External-Guide.pdf</t>
        </is>
      </c>
      <c r="D363" s="15" t="inlineStr">
        <is>
          <t>REF-2026.03.01-CODES</t>
        </is>
      </c>
      <c r="E363" s="15" t="inlineStr">
        <is>
          <t>sars_source_code</t>
        </is>
      </c>
      <c r="F363" s="14" t="inlineStr">
        <is>
          <t>SARS source code 3713 — Other allowances (Subject to PAYE) — is taxable</t>
        </is>
      </c>
      <c r="G363" s="15" t="inlineStr">
        <is>
          <t>Yes</t>
        </is>
      </c>
      <c r="H363" s="15" t="inlineStr"/>
      <c r="I363" s="15" t="inlineStr"/>
      <c r="J363" s="15" t="inlineStr">
        <is>
          <t>sars_source_code:6:is_taxable</t>
        </is>
      </c>
    </row>
    <row r="364">
      <c r="A364" s="14" t="inlineStr">
        <is>
          <t>SARS Guide for Codes Applicable to Employees Tax Certificates (PAYE-AE-06-G06), 2026 issue</t>
        </is>
      </c>
      <c r="B364" s="14" t="inlineStr"/>
      <c r="C364" s="17" t="inlineStr">
        <is>
          <t>https://www.sars.gov.za/wp-content/uploads/Ops/Guides/PAYE-AE-06-G06-Guide-for-Codes-Applicable-to-Employees-Tax-Certificates-2026-External-Guide.pdf</t>
        </is>
      </c>
      <c r="D364" s="15" t="inlineStr">
        <is>
          <t>REF-2026.03.01-CODES</t>
        </is>
      </c>
      <c r="E364" s="15" t="inlineStr">
        <is>
          <t>sars_source_code</t>
        </is>
      </c>
      <c r="F364" s="14" t="inlineStr">
        <is>
          <t>SARS source code 3713 — Other allowances (Subject to PAYE) — is uif remuneration</t>
        </is>
      </c>
      <c r="G364" s="15" t="inlineStr">
        <is>
          <t>Yes</t>
        </is>
      </c>
      <c r="H364" s="15" t="inlineStr"/>
      <c r="I364" s="15" t="inlineStr"/>
      <c r="J364" s="15" t="inlineStr">
        <is>
          <t>sars_source_code:6:is_uif_remuneration</t>
        </is>
      </c>
    </row>
    <row r="365">
      <c r="A365" s="14" t="inlineStr">
        <is>
          <t>SARS Guide for Codes Applicable to Employees Tax Certificates (PAYE-AE-06-G06), 2026 issue</t>
        </is>
      </c>
      <c r="B365" s="14" t="inlineStr"/>
      <c r="C365" s="17" t="inlineStr">
        <is>
          <t>https://www.sars.gov.za/wp-content/uploads/Ops/Guides/PAYE-AE-06-G06-Guide-for-Codes-Applicable-to-Employees-Tax-Certificates-2026-External-Guide.pdf</t>
        </is>
      </c>
      <c r="D365" s="15" t="inlineStr">
        <is>
          <t>REF-2026.03.01-CODES</t>
        </is>
      </c>
      <c r="E365" s="15" t="inlineStr">
        <is>
          <t>sars_source_code</t>
        </is>
      </c>
      <c r="F365" s="14" t="inlineStr">
        <is>
          <t>SARS source code 3714 — Other allowances (Non-taxable) — code group</t>
        </is>
      </c>
      <c r="G365" s="15" t="inlineStr">
        <is>
          <t>Allowance</t>
        </is>
      </c>
      <c r="H365" s="15" t="inlineStr"/>
      <c r="I365" s="15" t="inlineStr"/>
      <c r="J365" s="15" t="inlineStr">
        <is>
          <t>sars_source_code:7:code_group</t>
        </is>
      </c>
    </row>
    <row r="366">
      <c r="A366" s="14" t="inlineStr">
        <is>
          <t>SARS Guide for Codes Applicable to Employees Tax Certificates (PAYE-AE-06-G06), 2026 issue</t>
        </is>
      </c>
      <c r="B366" s="14" t="inlineStr"/>
      <c r="C366" s="17" t="inlineStr">
        <is>
          <t>https://www.sars.gov.za/wp-content/uploads/Ops/Guides/PAYE-AE-06-G06-Guide-for-Codes-Applicable-to-Employees-Tax-Certificates-2026-External-Guide.pdf</t>
        </is>
      </c>
      <c r="D366" s="15" t="inlineStr">
        <is>
          <t>REF-2026.03.01-CODES</t>
        </is>
      </c>
      <c r="E366" s="15" t="inlineStr">
        <is>
          <t>sars_source_code</t>
        </is>
      </c>
      <c r="F366" s="14" t="inlineStr">
        <is>
          <t>SARS source code 3714 — Other allowances (Non-taxable) — description</t>
        </is>
      </c>
      <c r="G366" s="15" t="inlineStr">
        <is>
          <t>Other allowances (Non-taxable)</t>
        </is>
      </c>
      <c r="H366" s="15" t="inlineStr"/>
      <c r="I366" s="15" t="inlineStr"/>
      <c r="J366" s="15" t="inlineStr">
        <is>
          <t>sars_source_code:7:description</t>
        </is>
      </c>
    </row>
    <row r="367">
      <c r="A367" s="14" t="inlineStr">
        <is>
          <t>SARS Guide for Codes Applicable to Employees Tax Certificates (PAYE-AE-06-G06), 2026 issue</t>
        </is>
      </c>
      <c r="B367" s="14" t="inlineStr"/>
      <c r="C367" s="17" t="inlineStr">
        <is>
          <t>https://www.sars.gov.za/wp-content/uploads/Ops/Guides/PAYE-AE-06-G06-Guide-for-Codes-Applicable-to-Employees-Tax-Certificates-2026-External-Guide.pdf</t>
        </is>
      </c>
      <c r="D367" s="15" t="inlineStr">
        <is>
          <t>REF-2026.03.01-CODES</t>
        </is>
      </c>
      <c r="E367" s="15" t="inlineStr">
        <is>
          <t>sars_source_code</t>
        </is>
      </c>
      <c r="F367" s="14" t="inlineStr">
        <is>
          <t>SARS source code 3714 — Other allowances (Non-taxable) — is coida remuneration</t>
        </is>
      </c>
      <c r="G367" s="15" t="inlineStr">
        <is>
          <t>No</t>
        </is>
      </c>
      <c r="H367" s="15" t="inlineStr"/>
      <c r="I367" s="15" t="inlineStr"/>
      <c r="J367" s="15" t="inlineStr">
        <is>
          <t>sars_source_code:7:is_coida_remuneration</t>
        </is>
      </c>
    </row>
    <row r="368">
      <c r="A368" s="14" t="inlineStr">
        <is>
          <t>SARS Guide for Codes Applicable to Employees Tax Certificates (PAYE-AE-06-G06), 2026 issue</t>
        </is>
      </c>
      <c r="B368" s="14" t="inlineStr"/>
      <c r="C368" s="17" t="inlineStr">
        <is>
          <t>https://www.sars.gov.za/wp-content/uploads/Ops/Guides/PAYE-AE-06-G06-Guide-for-Codes-Applicable-to-Employees-Tax-Certificates-2026-External-Guide.pdf</t>
        </is>
      </c>
      <c r="D368" s="15" t="inlineStr">
        <is>
          <t>REF-2026.03.01-CODES</t>
        </is>
      </c>
      <c r="E368" s="15" t="inlineStr">
        <is>
          <t>sars_source_code</t>
        </is>
      </c>
      <c r="F368" s="14" t="inlineStr">
        <is>
          <t>SARS source code 3714 — Other allowances (Non-taxable) — is sdl remuneration</t>
        </is>
      </c>
      <c r="G368" s="15" t="inlineStr">
        <is>
          <t>No</t>
        </is>
      </c>
      <c r="H368" s="15" t="inlineStr"/>
      <c r="I368" s="15" t="inlineStr"/>
      <c r="J368" s="15" t="inlineStr">
        <is>
          <t>sars_source_code:7:is_sdl_remuneration</t>
        </is>
      </c>
    </row>
    <row r="369">
      <c r="A369" s="14" t="inlineStr">
        <is>
          <t>SARS Guide for Codes Applicable to Employees Tax Certificates (PAYE-AE-06-G06), 2026 issue</t>
        </is>
      </c>
      <c r="B369" s="14" t="inlineStr"/>
      <c r="C369" s="17" t="inlineStr">
        <is>
          <t>https://www.sars.gov.za/wp-content/uploads/Ops/Guides/PAYE-AE-06-G06-Guide-for-Codes-Applicable-to-Employees-Tax-Certificates-2026-External-Guide.pdf</t>
        </is>
      </c>
      <c r="D369" s="15" t="inlineStr">
        <is>
          <t>REF-2026.03.01-CODES</t>
        </is>
      </c>
      <c r="E369" s="15" t="inlineStr">
        <is>
          <t>sars_source_code</t>
        </is>
      </c>
      <c r="F369" s="14" t="inlineStr">
        <is>
          <t>SARS source code 3714 — Other allowances (Non-taxable) — is taxable</t>
        </is>
      </c>
      <c r="G369" s="15" t="inlineStr">
        <is>
          <t>No</t>
        </is>
      </c>
      <c r="H369" s="15" t="inlineStr"/>
      <c r="I369" s="15" t="inlineStr"/>
      <c r="J369" s="15" t="inlineStr">
        <is>
          <t>sars_source_code:7:is_taxable</t>
        </is>
      </c>
    </row>
    <row r="370">
      <c r="A370" s="14" t="inlineStr">
        <is>
          <t>SARS Guide for Codes Applicable to Employees Tax Certificates (PAYE-AE-06-G06), 2026 issue</t>
        </is>
      </c>
      <c r="B370" s="14" t="inlineStr"/>
      <c r="C370" s="17" t="inlineStr">
        <is>
          <t>https://www.sars.gov.za/wp-content/uploads/Ops/Guides/PAYE-AE-06-G06-Guide-for-Codes-Applicable-to-Employees-Tax-Certificates-2026-External-Guide.pdf</t>
        </is>
      </c>
      <c r="D370" s="15" t="inlineStr">
        <is>
          <t>REF-2026.03.01-CODES</t>
        </is>
      </c>
      <c r="E370" s="15" t="inlineStr">
        <is>
          <t>sars_source_code</t>
        </is>
      </c>
      <c r="F370" s="14" t="inlineStr">
        <is>
          <t>SARS source code 3714 — Other allowances (Non-taxable) — is uif remuneration</t>
        </is>
      </c>
      <c r="G370" s="15" t="inlineStr">
        <is>
          <t>No</t>
        </is>
      </c>
      <c r="H370" s="15" t="inlineStr"/>
      <c r="I370" s="15" t="inlineStr"/>
      <c r="J370" s="15" t="inlineStr">
        <is>
          <t>sars_source_code:7:is_uif_remuneration</t>
        </is>
      </c>
    </row>
    <row r="371">
      <c r="A371" s="14" t="inlineStr">
        <is>
          <t>SARS Guide for Codes Applicable to Employees Tax Certificates (PAYE-AE-06-G06), 2026 issue</t>
        </is>
      </c>
      <c r="B371" s="14" t="inlineStr"/>
      <c r="C371" s="17" t="inlineStr">
        <is>
          <t>https://www.sars.gov.za/wp-content/uploads/Ops/Guides/PAYE-AE-06-G06-Guide-for-Codes-Applicable-to-Employees-Tax-Certificates-2026-External-Guide.pdf</t>
        </is>
      </c>
      <c r="D371" s="15" t="inlineStr">
        <is>
          <t>REF-2026.03.01-CODES</t>
        </is>
      </c>
      <c r="E371" s="15" t="inlineStr">
        <is>
          <t>sars_source_code</t>
        </is>
      </c>
      <c r="F371" s="14" t="inlineStr">
        <is>
          <t>SARS source code 3801 — General fringe benefits (Subject to PAYE) — code group</t>
        </is>
      </c>
      <c r="G371" s="15" t="inlineStr">
        <is>
          <t>Fringe benefit</t>
        </is>
      </c>
      <c r="H371" s="15" t="inlineStr"/>
      <c r="I371" s="15" t="inlineStr"/>
      <c r="J371" s="15" t="inlineStr">
        <is>
          <t>sars_source_code:8:code_group</t>
        </is>
      </c>
    </row>
    <row r="372">
      <c r="A372" s="14" t="inlineStr">
        <is>
          <t>SARS Guide for Codes Applicable to Employees Tax Certificates (PAYE-AE-06-G06), 2026 issue</t>
        </is>
      </c>
      <c r="B372" s="14" t="inlineStr"/>
      <c r="C372" s="17" t="inlineStr">
        <is>
          <t>https://www.sars.gov.za/wp-content/uploads/Ops/Guides/PAYE-AE-06-G06-Guide-for-Codes-Applicable-to-Employees-Tax-Certificates-2026-External-Guide.pdf</t>
        </is>
      </c>
      <c r="D372" s="15" t="inlineStr">
        <is>
          <t>REF-2026.03.01-CODES</t>
        </is>
      </c>
      <c r="E372" s="15" t="inlineStr">
        <is>
          <t>sars_source_code</t>
        </is>
      </c>
      <c r="F372" s="14" t="inlineStr">
        <is>
          <t>SARS source code 3801 — General fringe benefits (Subject to PAYE) — description</t>
        </is>
      </c>
      <c r="G372" s="15" t="inlineStr">
        <is>
          <t>General fringe benefits (Subject to PAYE)</t>
        </is>
      </c>
      <c r="H372" s="15" t="inlineStr"/>
      <c r="I372" s="15" t="inlineStr"/>
      <c r="J372" s="15" t="inlineStr">
        <is>
          <t>sars_source_code:8:description</t>
        </is>
      </c>
    </row>
    <row r="373">
      <c r="A373" s="14" t="inlineStr">
        <is>
          <t>SARS Guide for Codes Applicable to Employees Tax Certificates (PAYE-AE-06-G06), 2026 issue</t>
        </is>
      </c>
      <c r="B373" s="14" t="inlineStr"/>
      <c r="C373" s="17" t="inlineStr">
        <is>
          <t>https://www.sars.gov.za/wp-content/uploads/Ops/Guides/PAYE-AE-06-G06-Guide-for-Codes-Applicable-to-Employees-Tax-Certificates-2026-External-Guide.pdf</t>
        </is>
      </c>
      <c r="D373" s="15" t="inlineStr">
        <is>
          <t>REF-2026.03.01-CODES</t>
        </is>
      </c>
      <c r="E373" s="15" t="inlineStr">
        <is>
          <t>sars_source_code</t>
        </is>
      </c>
      <c r="F373" s="14" t="inlineStr">
        <is>
          <t>SARS source code 3801 — General fringe benefits (Subject to PAYE) — is coida remuneration</t>
        </is>
      </c>
      <c r="G373" s="15" t="inlineStr">
        <is>
          <t>Yes</t>
        </is>
      </c>
      <c r="H373" s="15" t="inlineStr"/>
      <c r="I373" s="15" t="inlineStr"/>
      <c r="J373" s="15" t="inlineStr">
        <is>
          <t>sars_source_code:8:is_coida_remuneration</t>
        </is>
      </c>
    </row>
    <row r="374">
      <c r="A374" s="14" t="inlineStr">
        <is>
          <t>SARS Guide for Codes Applicable to Employees Tax Certificates (PAYE-AE-06-G06), 2026 issue</t>
        </is>
      </c>
      <c r="B374" s="14" t="inlineStr"/>
      <c r="C374" s="17" t="inlineStr">
        <is>
          <t>https://www.sars.gov.za/wp-content/uploads/Ops/Guides/PAYE-AE-06-G06-Guide-for-Codes-Applicable-to-Employees-Tax-Certificates-2026-External-Guide.pdf</t>
        </is>
      </c>
      <c r="D374" s="15" t="inlineStr">
        <is>
          <t>REF-2026.03.01-CODES</t>
        </is>
      </c>
      <c r="E374" s="15" t="inlineStr">
        <is>
          <t>sars_source_code</t>
        </is>
      </c>
      <c r="F374" s="14" t="inlineStr">
        <is>
          <t>SARS source code 3801 — General fringe benefits (Subject to PAYE) — is sdl remuneration</t>
        </is>
      </c>
      <c r="G374" s="15" t="inlineStr">
        <is>
          <t>Yes</t>
        </is>
      </c>
      <c r="H374" s="15" t="inlineStr"/>
      <c r="I374" s="15" t="inlineStr"/>
      <c r="J374" s="15" t="inlineStr">
        <is>
          <t>sars_source_code:8:is_sdl_remuneration</t>
        </is>
      </c>
    </row>
    <row r="375">
      <c r="A375" s="14" t="inlineStr">
        <is>
          <t>SARS Guide for Codes Applicable to Employees Tax Certificates (PAYE-AE-06-G06), 2026 issue</t>
        </is>
      </c>
      <c r="B375" s="14" t="inlineStr"/>
      <c r="C375" s="17" t="inlineStr">
        <is>
          <t>https://www.sars.gov.za/wp-content/uploads/Ops/Guides/PAYE-AE-06-G06-Guide-for-Codes-Applicable-to-Employees-Tax-Certificates-2026-External-Guide.pdf</t>
        </is>
      </c>
      <c r="D375" s="15" t="inlineStr">
        <is>
          <t>REF-2026.03.01-CODES</t>
        </is>
      </c>
      <c r="E375" s="15" t="inlineStr">
        <is>
          <t>sars_source_code</t>
        </is>
      </c>
      <c r="F375" s="14" t="inlineStr">
        <is>
          <t>SARS source code 3801 — General fringe benefits (Subject to PAYE) — is taxable</t>
        </is>
      </c>
      <c r="G375" s="15" t="inlineStr">
        <is>
          <t>Yes</t>
        </is>
      </c>
      <c r="H375" s="15" t="inlineStr"/>
      <c r="I375" s="15" t="inlineStr"/>
      <c r="J375" s="15" t="inlineStr">
        <is>
          <t>sars_source_code:8:is_taxable</t>
        </is>
      </c>
    </row>
    <row r="376">
      <c r="A376" s="14" t="inlineStr">
        <is>
          <t>SARS Guide for Codes Applicable to Employees Tax Certificates (PAYE-AE-06-G06), 2026 issue</t>
        </is>
      </c>
      <c r="B376" s="14" t="inlineStr"/>
      <c r="C376" s="17" t="inlineStr">
        <is>
          <t>https://www.sars.gov.za/wp-content/uploads/Ops/Guides/PAYE-AE-06-G06-Guide-for-Codes-Applicable-to-Employees-Tax-Certificates-2026-External-Guide.pdf</t>
        </is>
      </c>
      <c r="D376" s="15" t="inlineStr">
        <is>
          <t>REF-2026.03.01-CODES</t>
        </is>
      </c>
      <c r="E376" s="15" t="inlineStr">
        <is>
          <t>sars_source_code</t>
        </is>
      </c>
      <c r="F376" s="14" t="inlineStr">
        <is>
          <t>SARS source code 3801 — General fringe benefits (Subject to PAYE) — is uif remuneration</t>
        </is>
      </c>
      <c r="G376" s="15" t="inlineStr">
        <is>
          <t>Yes</t>
        </is>
      </c>
      <c r="H376" s="15" t="inlineStr"/>
      <c r="I376" s="15" t="inlineStr"/>
      <c r="J376" s="15" t="inlineStr">
        <is>
          <t>sars_source_code:8:is_uif_remuneration</t>
        </is>
      </c>
    </row>
    <row r="377">
      <c r="A377" s="14" t="inlineStr">
        <is>
          <t>SARS Guide for Codes Applicable to Employees Tax Certificates (PAYE-AE-06-G06), 2026 issue</t>
        </is>
      </c>
      <c r="B377" s="14" t="inlineStr"/>
      <c r="C377" s="17" t="inlineStr">
        <is>
          <t>https://www.sars.gov.za/wp-content/uploads/Ops/Guides/PAYE-AE-06-G06-Guide-for-Codes-Applicable-to-Employees-Tax-Certificates-2026-External-Guide.pdf</t>
        </is>
      </c>
      <c r="D377" s="15" t="inlineStr">
        <is>
          <t>REF-2026.03.01-CODES</t>
        </is>
      </c>
      <c r="E377" s="15" t="inlineStr">
        <is>
          <t>sars_source_code</t>
        </is>
      </c>
      <c r="F377" s="14" t="inlineStr">
        <is>
          <t>SARS source code 3810 — Medical aid contributions (Subject to PAYE) — code group</t>
        </is>
      </c>
      <c r="G377" s="15" t="inlineStr">
        <is>
          <t>Fringe benefit</t>
        </is>
      </c>
      <c r="H377" s="15" t="inlineStr"/>
      <c r="I377" s="15" t="inlineStr"/>
      <c r="J377" s="15" t="inlineStr">
        <is>
          <t>sars_source_code:9:code_group</t>
        </is>
      </c>
    </row>
    <row r="378">
      <c r="A378" s="14" t="inlineStr">
        <is>
          <t>SARS Guide for Codes Applicable to Employees Tax Certificates (PAYE-AE-06-G06), 2026 issue</t>
        </is>
      </c>
      <c r="B378" s="14" t="inlineStr"/>
      <c r="C378" s="17" t="inlineStr">
        <is>
          <t>https://www.sars.gov.za/wp-content/uploads/Ops/Guides/PAYE-AE-06-G06-Guide-for-Codes-Applicable-to-Employees-Tax-Certificates-2026-External-Guide.pdf</t>
        </is>
      </c>
      <c r="D378" s="15" t="inlineStr">
        <is>
          <t>REF-2026.03.01-CODES</t>
        </is>
      </c>
      <c r="E378" s="15" t="inlineStr">
        <is>
          <t>sars_source_code</t>
        </is>
      </c>
      <c r="F378" s="14" t="inlineStr">
        <is>
          <t>SARS source code 3810 — Medical aid contributions (Subject to PAYE) — description</t>
        </is>
      </c>
      <c r="G378" s="15" t="inlineStr">
        <is>
          <t>Medical aid contributions (Subject to PAYE)</t>
        </is>
      </c>
      <c r="H378" s="15" t="inlineStr"/>
      <c r="I378" s="15" t="inlineStr"/>
      <c r="J378" s="15" t="inlineStr">
        <is>
          <t>sars_source_code:9:description</t>
        </is>
      </c>
    </row>
    <row r="379">
      <c r="A379" s="14" t="inlineStr">
        <is>
          <t>SARS Guide for Codes Applicable to Employees Tax Certificates (PAYE-AE-06-G06), 2026 issue</t>
        </is>
      </c>
      <c r="B379" s="14" t="inlineStr"/>
      <c r="C379" s="17" t="inlineStr">
        <is>
          <t>https://www.sars.gov.za/wp-content/uploads/Ops/Guides/PAYE-AE-06-G06-Guide-for-Codes-Applicable-to-Employees-Tax-Certificates-2026-External-Guide.pdf</t>
        </is>
      </c>
      <c r="D379" s="15" t="inlineStr">
        <is>
          <t>REF-2026.03.01-CODES</t>
        </is>
      </c>
      <c r="E379" s="15" t="inlineStr">
        <is>
          <t>sars_source_code</t>
        </is>
      </c>
      <c r="F379" s="14" t="inlineStr">
        <is>
          <t>SARS source code 3810 — Medical aid contributions (Subject to PAYE) — is coida remuneration</t>
        </is>
      </c>
      <c r="G379" s="15" t="inlineStr">
        <is>
          <t>Yes</t>
        </is>
      </c>
      <c r="H379" s="15" t="inlineStr"/>
      <c r="I379" s="15" t="inlineStr"/>
      <c r="J379" s="15" t="inlineStr">
        <is>
          <t>sars_source_code:9:is_coida_remuneration</t>
        </is>
      </c>
    </row>
    <row r="380">
      <c r="A380" s="14" t="inlineStr">
        <is>
          <t>SARS Guide for Codes Applicable to Employees Tax Certificates (PAYE-AE-06-G06), 2026 issue</t>
        </is>
      </c>
      <c r="B380" s="14" t="inlineStr"/>
      <c r="C380" s="17" t="inlineStr">
        <is>
          <t>https://www.sars.gov.za/wp-content/uploads/Ops/Guides/PAYE-AE-06-G06-Guide-for-Codes-Applicable-to-Employees-Tax-Certificates-2026-External-Guide.pdf</t>
        </is>
      </c>
      <c r="D380" s="15" t="inlineStr">
        <is>
          <t>REF-2026.03.01-CODES</t>
        </is>
      </c>
      <c r="E380" s="15" t="inlineStr">
        <is>
          <t>sars_source_code</t>
        </is>
      </c>
      <c r="F380" s="14" t="inlineStr">
        <is>
          <t>SARS source code 3810 — Medical aid contributions (Subject to PAYE) — is sdl remuneration</t>
        </is>
      </c>
      <c r="G380" s="15" t="inlineStr">
        <is>
          <t>Yes</t>
        </is>
      </c>
      <c r="H380" s="15" t="inlineStr"/>
      <c r="I380" s="15" t="inlineStr"/>
      <c r="J380" s="15" t="inlineStr">
        <is>
          <t>sars_source_code:9:is_sdl_remuneration</t>
        </is>
      </c>
    </row>
    <row r="381">
      <c r="A381" s="14" t="inlineStr">
        <is>
          <t>SARS Guide for Codes Applicable to Employees Tax Certificates (PAYE-AE-06-G06), 2026 issue</t>
        </is>
      </c>
      <c r="B381" s="14" t="inlineStr"/>
      <c r="C381" s="17" t="inlineStr">
        <is>
          <t>https://www.sars.gov.za/wp-content/uploads/Ops/Guides/PAYE-AE-06-G06-Guide-for-Codes-Applicable-to-Employees-Tax-Certificates-2026-External-Guide.pdf</t>
        </is>
      </c>
      <c r="D381" s="15" t="inlineStr">
        <is>
          <t>REF-2026.03.01-CODES</t>
        </is>
      </c>
      <c r="E381" s="15" t="inlineStr">
        <is>
          <t>sars_source_code</t>
        </is>
      </c>
      <c r="F381" s="14" t="inlineStr">
        <is>
          <t>SARS source code 3810 — Medical aid contributions (Subject to PAYE) — is taxable</t>
        </is>
      </c>
      <c r="G381" s="15" t="inlineStr">
        <is>
          <t>Yes</t>
        </is>
      </c>
      <c r="H381" s="15" t="inlineStr"/>
      <c r="I381" s="15" t="inlineStr"/>
      <c r="J381" s="15" t="inlineStr">
        <is>
          <t>sars_source_code:9:is_taxable</t>
        </is>
      </c>
    </row>
    <row r="382">
      <c r="A382" s="14" t="inlineStr">
        <is>
          <t>SARS Guide for Codes Applicable to Employees Tax Certificates (PAYE-AE-06-G06), 2026 issue</t>
        </is>
      </c>
      <c r="B382" s="14" t="inlineStr"/>
      <c r="C382" s="17" t="inlineStr">
        <is>
          <t>https://www.sars.gov.za/wp-content/uploads/Ops/Guides/PAYE-AE-06-G06-Guide-for-Codes-Applicable-to-Employees-Tax-Certificates-2026-External-Guide.pdf</t>
        </is>
      </c>
      <c r="D382" s="15" t="inlineStr">
        <is>
          <t>REF-2026.03.01-CODES</t>
        </is>
      </c>
      <c r="E382" s="15" t="inlineStr">
        <is>
          <t>sars_source_code</t>
        </is>
      </c>
      <c r="F382" s="14" t="inlineStr">
        <is>
          <t>SARS source code 3810 — Medical aid contributions (Subject to PAYE) — is uif remuneration</t>
        </is>
      </c>
      <c r="G382" s="15" t="inlineStr">
        <is>
          <t>Yes</t>
        </is>
      </c>
      <c r="H382" s="15" t="inlineStr"/>
      <c r="I382" s="15" t="inlineStr"/>
      <c r="J382" s="15" t="inlineStr">
        <is>
          <t>sars_source_code:9:is_uif_remuneration</t>
        </is>
      </c>
    </row>
    <row r="383">
      <c r="A383" s="10" t="inlineStr">
        <is>
          <t>SARS Medical Tax Credit Rates, 2027 tax year (1 March 2026 - 28 February 2027)</t>
        </is>
      </c>
      <c r="B383" s="10" t="inlineStr"/>
      <c r="C383" s="16" t="inlineStr">
        <is>
          <t>https://www.sars.gov.za/tax-rates/medical-tax-credit-rates/</t>
        </is>
      </c>
      <c r="D383" s="11" t="inlineStr">
        <is>
          <t>REF-2026.03.01-r2</t>
        </is>
      </c>
      <c r="E383" s="11" t="inlineStr">
        <is>
          <t>medical_tax_credit_rate</t>
        </is>
      </c>
      <c r="F383" s="10" t="inlineStr">
        <is>
          <t>Medical scheme tax credit, 2026/2027 — additional dependant monthly</t>
        </is>
      </c>
      <c r="G383" s="11" t="inlineStr">
        <is>
          <t>R 254,00</t>
        </is>
      </c>
      <c r="H383" s="11" t="inlineStr"/>
      <c r="I383" s="11" t="inlineStr"/>
      <c r="J383" s="11" t="inlineStr">
        <is>
          <t>medical_tax_credit_rate:1:additional_dependant_monthly</t>
        </is>
      </c>
      <c r="K383" s="13" t="n"/>
      <c r="L383" s="13" t="n"/>
      <c r="M383" s="13" t="n"/>
      <c r="N383" s="13" t="n"/>
    </row>
    <row r="384">
      <c r="A384" s="14" t="inlineStr">
        <is>
          <t>SARS Medical Tax Credit Rates, 2027 tax year (1 March 2026 - 28 February 2027)</t>
        </is>
      </c>
      <c r="B384" s="14" t="inlineStr"/>
      <c r="C384" s="17" t="inlineStr">
        <is>
          <t>https://www.sars.gov.za/tax-rates/medical-tax-credit-rates/</t>
        </is>
      </c>
      <c r="D384" s="15" t="inlineStr">
        <is>
          <t>REF-2026.03.01-r2</t>
        </is>
      </c>
      <c r="E384" s="15" t="inlineStr">
        <is>
          <t>medical_tax_credit_rate</t>
        </is>
      </c>
      <c r="F384" s="14" t="inlineStr">
        <is>
          <t>Medical scheme tax credit, 2026/2027 — first dependant monthly</t>
        </is>
      </c>
      <c r="G384" s="15" t="inlineStr">
        <is>
          <t>R 376,00</t>
        </is>
      </c>
      <c r="H384" s="15" t="inlineStr"/>
      <c r="I384" s="15" t="inlineStr"/>
      <c r="J384" s="15" t="inlineStr">
        <is>
          <t>medical_tax_credit_rate:1:first_dependant_monthly</t>
        </is>
      </c>
    </row>
    <row r="385">
      <c r="A385" s="14" t="inlineStr">
        <is>
          <t>SARS Medical Tax Credit Rates, 2027 tax year (1 March 2026 - 28 February 2027)</t>
        </is>
      </c>
      <c r="B385" s="14" t="inlineStr"/>
      <c r="C385" s="17" t="inlineStr">
        <is>
          <t>https://www.sars.gov.za/tax-rates/medical-tax-credit-rates/</t>
        </is>
      </c>
      <c r="D385" s="15" t="inlineStr">
        <is>
          <t>REF-2026.03.01-r2</t>
        </is>
      </c>
      <c r="E385" s="15" t="inlineStr">
        <is>
          <t>medical_tax_credit_rate</t>
        </is>
      </c>
      <c r="F385" s="14" t="inlineStr">
        <is>
          <t>Medical scheme tax credit, 2026/2027 — main member monthly</t>
        </is>
      </c>
      <c r="G385" s="15" t="inlineStr">
        <is>
          <t>R 376,00</t>
        </is>
      </c>
      <c r="H385" s="15" t="inlineStr"/>
      <c r="I385" s="15" t="inlineStr"/>
      <c r="J385" s="15" t="inlineStr">
        <is>
          <t>medical_tax_credit_rate:1:main_member_monthly</t>
        </is>
      </c>
    </row>
    <row r="386">
      <c r="A386" s="10" t="inlineStr">
        <is>
          <t>SARS PAYE-AE-06-G06, Guide for Codes Applicable to Employees Tax Certificates 2026, revision 13, effective 19 September 2025</t>
        </is>
      </c>
      <c r="B386" s="10" t="inlineStr"/>
      <c r="C386" s="16" t="inlineStr">
        <is>
          <t>https://www.sars.gov.za/types-of-tax/pay-as-you-earn/</t>
        </is>
      </c>
      <c r="D386" s="11" t="inlineStr">
        <is>
          <t>REF-2026.03.01-LUMPSUM</t>
        </is>
      </c>
      <c r="E386" s="11" t="inlineStr">
        <is>
          <t>sars_source_code</t>
        </is>
      </c>
      <c r="F386" s="10" t="inlineStr">
        <is>
          <t>SARS source code 3901 — Gratuities / Severance Benefits (Subject to PAYE) — code group</t>
        </is>
      </c>
      <c r="G386" s="11" t="inlineStr">
        <is>
          <t>Income</t>
        </is>
      </c>
      <c r="H386" s="11" t="inlineStr"/>
      <c r="I386" s="11" t="inlineStr"/>
      <c r="J386" s="11" t="inlineStr">
        <is>
          <t>sars_source_code:20:code_group</t>
        </is>
      </c>
      <c r="K386" s="13" t="n"/>
      <c r="L386" s="13" t="n"/>
      <c r="M386" s="13" t="n"/>
      <c r="N386" s="13" t="n"/>
    </row>
    <row r="387">
      <c r="A387" s="14" t="inlineStr">
        <is>
          <t>SARS PAYE-AE-06-G06, Guide for Codes Applicable to Employees Tax Certificates 2026, revision 13, effective 19 September 2025</t>
        </is>
      </c>
      <c r="B387" s="14" t="inlineStr"/>
      <c r="C387" s="17" t="inlineStr">
        <is>
          <t>https://www.sars.gov.za/types-of-tax/pay-as-you-earn/</t>
        </is>
      </c>
      <c r="D387" s="15" t="inlineStr">
        <is>
          <t>REF-2026.03.01-LUMPSUM</t>
        </is>
      </c>
      <c r="E387" s="15" t="inlineStr">
        <is>
          <t>sars_source_code</t>
        </is>
      </c>
      <c r="F387" s="14" t="inlineStr">
        <is>
          <t>SARS source code 3901 — Gratuities / Severance Benefits (Subject to PAYE) — description</t>
        </is>
      </c>
      <c r="G387" s="15" t="inlineStr">
        <is>
          <t>Gratuities / Severance Benefits (Subject to PAYE)</t>
        </is>
      </c>
      <c r="H387" s="15" t="inlineStr"/>
      <c r="I387" s="15" t="inlineStr"/>
      <c r="J387" s="15" t="inlineStr">
        <is>
          <t>sars_source_code:20:description</t>
        </is>
      </c>
    </row>
    <row r="388">
      <c r="A388" s="14" t="inlineStr">
        <is>
          <t>SARS PAYE-AE-06-G06, Guide for Codes Applicable to Employees Tax Certificates 2026, revision 13, effective 19 September 2025</t>
        </is>
      </c>
      <c r="B388" s="14" t="inlineStr"/>
      <c r="C388" s="17" t="inlineStr">
        <is>
          <t>https://www.sars.gov.za/types-of-tax/pay-as-you-earn/</t>
        </is>
      </c>
      <c r="D388" s="15" t="inlineStr">
        <is>
          <t>REF-2026.03.01-LUMPSUM</t>
        </is>
      </c>
      <c r="E388" s="15" t="inlineStr">
        <is>
          <t>sars_source_code</t>
        </is>
      </c>
      <c r="F388" s="14" t="inlineStr">
        <is>
          <t>SARS source code 3901 — Gratuities / Severance Benefits (Subject to PAYE) — is coida remuneration</t>
        </is>
      </c>
      <c r="G388" s="15" t="inlineStr">
        <is>
          <t>No</t>
        </is>
      </c>
      <c r="H388" s="15" t="inlineStr"/>
      <c r="I388" s="15" t="inlineStr"/>
      <c r="J388" s="15" t="inlineStr">
        <is>
          <t>sars_source_code:20:is_coida_remuneration</t>
        </is>
      </c>
    </row>
    <row r="389">
      <c r="A389" s="14" t="inlineStr">
        <is>
          <t>SARS PAYE-AE-06-G06, Guide for Codes Applicable to Employees Tax Certificates 2026, revision 13, effective 19 September 2025</t>
        </is>
      </c>
      <c r="B389" s="14" t="inlineStr"/>
      <c r="C389" s="17" t="inlineStr">
        <is>
          <t>https://www.sars.gov.za/types-of-tax/pay-as-you-earn/</t>
        </is>
      </c>
      <c r="D389" s="15" t="inlineStr">
        <is>
          <t>REF-2026.03.01-LUMPSUM</t>
        </is>
      </c>
      <c r="E389" s="15" t="inlineStr">
        <is>
          <t>sars_source_code</t>
        </is>
      </c>
      <c r="F389" s="14" t="inlineStr">
        <is>
          <t>SARS source code 3901 — Gratuities / Severance Benefits (Subject to PAYE) — is sdl remuneration</t>
        </is>
      </c>
      <c r="G389" s="15" t="inlineStr">
        <is>
          <t>No</t>
        </is>
      </c>
      <c r="H389" s="15" t="inlineStr"/>
      <c r="I389" s="15" t="inlineStr"/>
      <c r="J389" s="15" t="inlineStr">
        <is>
          <t>sars_source_code:20:is_sdl_remuneration</t>
        </is>
      </c>
    </row>
    <row r="390">
      <c r="A390" s="14" t="inlineStr">
        <is>
          <t>SARS PAYE-AE-06-G06, Guide for Codes Applicable to Employees Tax Certificates 2026, revision 13, effective 19 September 2025</t>
        </is>
      </c>
      <c r="B390" s="14" t="inlineStr"/>
      <c r="C390" s="17" t="inlineStr">
        <is>
          <t>https://www.sars.gov.za/types-of-tax/pay-as-you-earn/</t>
        </is>
      </c>
      <c r="D390" s="15" t="inlineStr">
        <is>
          <t>REF-2026.03.01-LUMPSUM</t>
        </is>
      </c>
      <c r="E390" s="15" t="inlineStr">
        <is>
          <t>sars_source_code</t>
        </is>
      </c>
      <c r="F390" s="14" t="inlineStr">
        <is>
          <t>SARS source code 3901 — Gratuities / Severance Benefits (Subject to PAYE) — is taxable</t>
        </is>
      </c>
      <c r="G390" s="15" t="inlineStr">
        <is>
          <t>Yes</t>
        </is>
      </c>
      <c r="H390" s="15" t="inlineStr"/>
      <c r="I390" s="15" t="inlineStr"/>
      <c r="J390" s="15" t="inlineStr">
        <is>
          <t>sars_source_code:20:is_taxable</t>
        </is>
      </c>
    </row>
    <row r="391">
      <c r="A391" s="14" t="inlineStr">
        <is>
          <t>SARS PAYE-AE-06-G06, Guide for Codes Applicable to Employees Tax Certificates 2026, revision 13, effective 19 September 2025</t>
        </is>
      </c>
      <c r="B391" s="14" t="inlineStr"/>
      <c r="C391" s="17" t="inlineStr">
        <is>
          <t>https://www.sars.gov.za/types-of-tax/pay-as-you-earn/</t>
        </is>
      </c>
      <c r="D391" s="15" t="inlineStr">
        <is>
          <t>REF-2026.03.01-LUMPSUM</t>
        </is>
      </c>
      <c r="E391" s="15" t="inlineStr">
        <is>
          <t>sars_source_code</t>
        </is>
      </c>
      <c r="F391" s="14" t="inlineStr">
        <is>
          <t>SARS source code 3901 — Gratuities / Severance Benefits (Subject to PAYE) — is uif remuneration</t>
        </is>
      </c>
      <c r="G391" s="15" t="inlineStr">
        <is>
          <t>No</t>
        </is>
      </c>
      <c r="H391" s="15" t="inlineStr"/>
      <c r="I391" s="15" t="inlineStr"/>
      <c r="J391" s="15" t="inlineStr">
        <is>
          <t>sars_source_code:20:is_uif_remuneration</t>
        </is>
      </c>
    </row>
    <row r="392">
      <c r="A392" s="14" t="inlineStr">
        <is>
          <t>SARS PAYE-AE-06-G06, Guide for Codes Applicable to Employees Tax Certificates 2026, revision 13, effective 19 September 2025</t>
        </is>
      </c>
      <c r="B392" s="14" t="inlineStr"/>
      <c r="C392" s="17" t="inlineStr">
        <is>
          <t>https://www.sars.gov.za/types-of-tax/pay-as-you-earn/</t>
        </is>
      </c>
      <c r="D392" s="15" t="inlineStr">
        <is>
          <t>REF-2026.03.01-LUMPSUM</t>
        </is>
      </c>
      <c r="E392" s="15" t="inlineStr">
        <is>
          <t>sars_source_code</t>
        </is>
      </c>
      <c r="F392" s="14" t="inlineStr">
        <is>
          <t>SARS source code 3907 — Other lump sums (Subject to PAYE) — code group</t>
        </is>
      </c>
      <c r="G392" s="15" t="inlineStr">
        <is>
          <t>Income</t>
        </is>
      </c>
      <c r="H392" s="15" t="inlineStr"/>
      <c r="I392" s="15" t="inlineStr"/>
      <c r="J392" s="15" t="inlineStr">
        <is>
          <t>sars_source_code:21:code_group</t>
        </is>
      </c>
    </row>
    <row r="393">
      <c r="A393" s="14" t="inlineStr">
        <is>
          <t>SARS PAYE-AE-06-G06, Guide for Codes Applicable to Employees Tax Certificates 2026, revision 13, effective 19 September 2025</t>
        </is>
      </c>
      <c r="B393" s="14" t="inlineStr"/>
      <c r="C393" s="17" t="inlineStr">
        <is>
          <t>https://www.sars.gov.za/types-of-tax/pay-as-you-earn/</t>
        </is>
      </c>
      <c r="D393" s="15" t="inlineStr">
        <is>
          <t>REF-2026.03.01-LUMPSUM</t>
        </is>
      </c>
      <c r="E393" s="15" t="inlineStr">
        <is>
          <t>sars_source_code</t>
        </is>
      </c>
      <c r="F393" s="14" t="inlineStr">
        <is>
          <t>SARS source code 3907 — Other lump sums (Subject to PAYE) — description</t>
        </is>
      </c>
      <c r="G393" s="15" t="inlineStr">
        <is>
          <t>Other lump sums (Subject to PAYE)</t>
        </is>
      </c>
      <c r="H393" s="15" t="inlineStr"/>
      <c r="I393" s="15" t="inlineStr"/>
      <c r="J393" s="15" t="inlineStr">
        <is>
          <t>sars_source_code:21:description</t>
        </is>
      </c>
    </row>
    <row r="394">
      <c r="A394" s="14" t="inlineStr">
        <is>
          <t>SARS PAYE-AE-06-G06, Guide for Codes Applicable to Employees Tax Certificates 2026, revision 13, effective 19 September 2025</t>
        </is>
      </c>
      <c r="B394" s="14" t="inlineStr"/>
      <c r="C394" s="17" t="inlineStr">
        <is>
          <t>https://www.sars.gov.za/types-of-tax/pay-as-you-earn/</t>
        </is>
      </c>
      <c r="D394" s="15" t="inlineStr">
        <is>
          <t>REF-2026.03.01-LUMPSUM</t>
        </is>
      </c>
      <c r="E394" s="15" t="inlineStr">
        <is>
          <t>sars_source_code</t>
        </is>
      </c>
      <c r="F394" s="14" t="inlineStr">
        <is>
          <t>SARS source code 3907 — Other lump sums (Subject to PAYE) — is coida remuneration</t>
        </is>
      </c>
      <c r="G394" s="15" t="inlineStr">
        <is>
          <t>No</t>
        </is>
      </c>
      <c r="H394" s="15" t="inlineStr"/>
      <c r="I394" s="15" t="inlineStr"/>
      <c r="J394" s="15" t="inlineStr">
        <is>
          <t>sars_source_code:21:is_coida_remuneration</t>
        </is>
      </c>
    </row>
    <row r="395">
      <c r="A395" s="14" t="inlineStr">
        <is>
          <t>SARS PAYE-AE-06-G06, Guide for Codes Applicable to Employees Tax Certificates 2026, revision 13, effective 19 September 2025</t>
        </is>
      </c>
      <c r="B395" s="14" t="inlineStr"/>
      <c r="C395" s="17" t="inlineStr">
        <is>
          <t>https://www.sars.gov.za/types-of-tax/pay-as-you-earn/</t>
        </is>
      </c>
      <c r="D395" s="15" t="inlineStr">
        <is>
          <t>REF-2026.03.01-LUMPSUM</t>
        </is>
      </c>
      <c r="E395" s="15" t="inlineStr">
        <is>
          <t>sars_source_code</t>
        </is>
      </c>
      <c r="F395" s="14" t="inlineStr">
        <is>
          <t>SARS source code 3907 — Other lump sums (Subject to PAYE) — is sdl remuneration</t>
        </is>
      </c>
      <c r="G395" s="15" t="inlineStr">
        <is>
          <t>No</t>
        </is>
      </c>
      <c r="H395" s="15" t="inlineStr"/>
      <c r="I395" s="15" t="inlineStr"/>
      <c r="J395" s="15" t="inlineStr">
        <is>
          <t>sars_source_code:21:is_sdl_remuneration</t>
        </is>
      </c>
    </row>
    <row r="396">
      <c r="A396" s="14" t="inlineStr">
        <is>
          <t>SARS PAYE-AE-06-G06, Guide for Codes Applicable to Employees Tax Certificates 2026, revision 13, effective 19 September 2025</t>
        </is>
      </c>
      <c r="B396" s="14" t="inlineStr"/>
      <c r="C396" s="17" t="inlineStr">
        <is>
          <t>https://www.sars.gov.za/types-of-tax/pay-as-you-earn/</t>
        </is>
      </c>
      <c r="D396" s="15" t="inlineStr">
        <is>
          <t>REF-2026.03.01-LUMPSUM</t>
        </is>
      </c>
      <c r="E396" s="15" t="inlineStr">
        <is>
          <t>sars_source_code</t>
        </is>
      </c>
      <c r="F396" s="14" t="inlineStr">
        <is>
          <t>SARS source code 3907 — Other lump sums (Subject to PAYE) — is taxable</t>
        </is>
      </c>
      <c r="G396" s="15" t="inlineStr">
        <is>
          <t>Yes</t>
        </is>
      </c>
      <c r="H396" s="15" t="inlineStr"/>
      <c r="I396" s="15" t="inlineStr"/>
      <c r="J396" s="15" t="inlineStr">
        <is>
          <t>sars_source_code:21:is_taxable</t>
        </is>
      </c>
    </row>
    <row r="397">
      <c r="A397" s="14" t="inlineStr">
        <is>
          <t>SARS PAYE-AE-06-G06, Guide for Codes Applicable to Employees Tax Certificates 2026, revision 13, effective 19 September 2025</t>
        </is>
      </c>
      <c r="B397" s="14" t="inlineStr"/>
      <c r="C397" s="17" t="inlineStr">
        <is>
          <t>https://www.sars.gov.za/types-of-tax/pay-as-you-earn/</t>
        </is>
      </c>
      <c r="D397" s="15" t="inlineStr">
        <is>
          <t>REF-2026.03.01-LUMPSUM</t>
        </is>
      </c>
      <c r="E397" s="15" t="inlineStr">
        <is>
          <t>sars_source_code</t>
        </is>
      </c>
      <c r="F397" s="14" t="inlineStr">
        <is>
          <t>SARS source code 3907 — Other lump sums (Subject to PAYE) — is uif remuneration</t>
        </is>
      </c>
      <c r="G397" s="15" t="inlineStr">
        <is>
          <t>No</t>
        </is>
      </c>
      <c r="H397" s="15" t="inlineStr"/>
      <c r="I397" s="15" t="inlineStr"/>
      <c r="J397" s="15" t="inlineStr">
        <is>
          <t>sars_source_code:21:is_uif_remuneration</t>
        </is>
      </c>
    </row>
    <row r="398">
      <c r="A398" s="10" t="inlineStr">
        <is>
          <t>SARS Rates of Tax for Individuals, 2027 tax year (1 March 2026 - 28 February 2027)</t>
        </is>
      </c>
      <c r="B398" s="10" t="inlineStr"/>
      <c r="C398" s="16" t="inlineStr">
        <is>
          <t>https://www.sars.gov.za/tax-rates/income-tax/rates-of-tax-for-individuals/</t>
        </is>
      </c>
      <c r="D398" s="11" t="inlineStr">
        <is>
          <t>REF-2026.03.01-r2</t>
        </is>
      </c>
      <c r="E398" s="11" t="inlineStr">
        <is>
          <t>paye_rebate</t>
        </is>
      </c>
      <c r="F398" s="10" t="inlineStr">
        <is>
          <t>PAYE primary rebate, 2026/2027 — annual amount</t>
        </is>
      </c>
      <c r="G398" s="11" t="inlineStr">
        <is>
          <t>R 17 820,00</t>
        </is>
      </c>
      <c r="H398" s="11" t="inlineStr"/>
      <c r="I398" s="11" t="inlineStr"/>
      <c r="J398" s="11" t="inlineStr">
        <is>
          <t>paye_rebate:1:annual_amount</t>
        </is>
      </c>
      <c r="K398" s="13" t="n"/>
      <c r="L398" s="13" t="n"/>
      <c r="M398" s="13" t="n"/>
      <c r="N398" s="13" t="n"/>
    </row>
    <row r="399">
      <c r="A399" s="14" t="inlineStr">
        <is>
          <t>SARS Rates of Tax for Individuals, 2027 tax year (1 March 2026 - 28 February 2027)</t>
        </is>
      </c>
      <c r="B399" s="14" t="inlineStr"/>
      <c r="C399" s="17" t="inlineStr">
        <is>
          <t>https://www.sars.gov.za/tax-rates/income-tax/rates-of-tax-for-individuals/</t>
        </is>
      </c>
      <c r="D399" s="15" t="inlineStr">
        <is>
          <t>REF-2026.03.01-r2</t>
        </is>
      </c>
      <c r="E399" s="15" t="inlineStr">
        <is>
          <t>paye_rebate</t>
        </is>
      </c>
      <c r="F399" s="14" t="inlineStr">
        <is>
          <t>PAYE primary rebate, 2026/2027 — minimum age</t>
        </is>
      </c>
      <c r="G399" s="15" t="inlineStr">
        <is>
          <t>0</t>
        </is>
      </c>
      <c r="H399" s="15" t="inlineStr"/>
      <c r="I399" s="15" t="inlineStr"/>
      <c r="J399" s="15" t="inlineStr">
        <is>
          <t>paye_rebate:1:min_age</t>
        </is>
      </c>
    </row>
    <row r="400">
      <c r="A400" s="14" t="inlineStr">
        <is>
          <t>SARS Rates of Tax for Individuals, 2027 tax year (1 March 2026 - 28 February 2027)</t>
        </is>
      </c>
      <c r="B400" s="14" t="inlineStr"/>
      <c r="C400" s="17" t="inlineStr">
        <is>
          <t>https://www.sars.gov.za/tax-rates/income-tax/rates-of-tax-for-individuals/</t>
        </is>
      </c>
      <c r="D400" s="15" t="inlineStr">
        <is>
          <t>REF-2026.03.01-r2</t>
        </is>
      </c>
      <c r="E400" s="15" t="inlineStr">
        <is>
          <t>paye_rebate</t>
        </is>
      </c>
      <c r="F400" s="14" t="inlineStr">
        <is>
          <t>PAYE primary rebate, 2026/2027 — annual tax threshold</t>
        </is>
      </c>
      <c r="G400" s="15" t="inlineStr">
        <is>
          <t>R 99 000,00</t>
        </is>
      </c>
      <c r="H400" s="15" t="inlineStr"/>
      <c r="I400" s="15" t="inlineStr"/>
      <c r="J400" s="15" t="inlineStr">
        <is>
          <t>paye_rebate:1:tax_threshold_annual</t>
        </is>
      </c>
    </row>
    <row r="401">
      <c r="A401" s="14" t="inlineStr">
        <is>
          <t>SARS Rates of Tax for Individuals, 2027 tax year (1 March 2026 - 28 February 2027)</t>
        </is>
      </c>
      <c r="B401" s="14" t="inlineStr"/>
      <c r="C401" s="17" t="inlineStr">
        <is>
          <t>https://www.sars.gov.za/tax-rates/income-tax/rates-of-tax-for-individuals/</t>
        </is>
      </c>
      <c r="D401" s="15" t="inlineStr">
        <is>
          <t>REF-2026.03.01-r2</t>
        </is>
      </c>
      <c r="E401" s="15" t="inlineStr">
        <is>
          <t>paye_rebate</t>
        </is>
      </c>
      <c r="F401" s="14" t="inlineStr">
        <is>
          <t>PAYE secondary rebate, 2026/2027 — annual amount</t>
        </is>
      </c>
      <c r="G401" s="15" t="inlineStr">
        <is>
          <t>R 9 765,00</t>
        </is>
      </c>
      <c r="H401" s="15" t="inlineStr"/>
      <c r="I401" s="15" t="inlineStr"/>
      <c r="J401" s="15" t="inlineStr">
        <is>
          <t>paye_rebate:2:annual_amount</t>
        </is>
      </c>
    </row>
    <row r="402">
      <c r="A402" s="14" t="inlineStr">
        <is>
          <t>SARS Rates of Tax for Individuals, 2027 tax year (1 March 2026 - 28 February 2027)</t>
        </is>
      </c>
      <c r="B402" s="14" t="inlineStr"/>
      <c r="C402" s="17" t="inlineStr">
        <is>
          <t>https://www.sars.gov.za/tax-rates/income-tax/rates-of-tax-for-individuals/</t>
        </is>
      </c>
      <c r="D402" s="15" t="inlineStr">
        <is>
          <t>REF-2026.03.01-r2</t>
        </is>
      </c>
      <c r="E402" s="15" t="inlineStr">
        <is>
          <t>paye_rebate</t>
        </is>
      </c>
      <c r="F402" s="14" t="inlineStr">
        <is>
          <t>PAYE secondary rebate, 2026/2027 — minimum age</t>
        </is>
      </c>
      <c r="G402" s="15" t="inlineStr">
        <is>
          <t>65</t>
        </is>
      </c>
      <c r="H402" s="15" t="inlineStr"/>
      <c r="I402" s="15" t="inlineStr"/>
      <c r="J402" s="15" t="inlineStr">
        <is>
          <t>paye_rebate:2:min_age</t>
        </is>
      </c>
    </row>
    <row r="403">
      <c r="A403" s="14" t="inlineStr">
        <is>
          <t>SARS Rates of Tax for Individuals, 2027 tax year (1 March 2026 - 28 February 2027)</t>
        </is>
      </c>
      <c r="B403" s="14" t="inlineStr"/>
      <c r="C403" s="17" t="inlineStr">
        <is>
          <t>https://www.sars.gov.za/tax-rates/income-tax/rates-of-tax-for-individuals/</t>
        </is>
      </c>
      <c r="D403" s="15" t="inlineStr">
        <is>
          <t>REF-2026.03.01-r2</t>
        </is>
      </c>
      <c r="E403" s="15" t="inlineStr">
        <is>
          <t>paye_rebate</t>
        </is>
      </c>
      <c r="F403" s="14" t="inlineStr">
        <is>
          <t>PAYE secondary rebate, 2026/2027 — annual tax threshold</t>
        </is>
      </c>
      <c r="G403" s="15" t="inlineStr">
        <is>
          <t>R 153 250,00</t>
        </is>
      </c>
      <c r="H403" s="15" t="inlineStr"/>
      <c r="I403" s="15" t="inlineStr"/>
      <c r="J403" s="15" t="inlineStr">
        <is>
          <t>paye_rebate:2:tax_threshold_annual</t>
        </is>
      </c>
    </row>
    <row r="404">
      <c r="A404" s="14" t="inlineStr">
        <is>
          <t>SARS Rates of Tax for Individuals, 2027 tax year (1 March 2026 - 28 February 2027)</t>
        </is>
      </c>
      <c r="B404" s="14" t="inlineStr"/>
      <c r="C404" s="17" t="inlineStr">
        <is>
          <t>https://www.sars.gov.za/tax-rates/income-tax/rates-of-tax-for-individuals/</t>
        </is>
      </c>
      <c r="D404" s="15" t="inlineStr">
        <is>
          <t>REF-2026.03.01-r2</t>
        </is>
      </c>
      <c r="E404" s="15" t="inlineStr">
        <is>
          <t>paye_rebate</t>
        </is>
      </c>
      <c r="F404" s="14" t="inlineStr">
        <is>
          <t>PAYE tertiary rebate, 2026/2027 — annual amount</t>
        </is>
      </c>
      <c r="G404" s="15" t="inlineStr">
        <is>
          <t>R 3 249,00</t>
        </is>
      </c>
      <c r="H404" s="15" t="inlineStr"/>
      <c r="I404" s="15" t="inlineStr"/>
      <c r="J404" s="15" t="inlineStr">
        <is>
          <t>paye_rebate:3:annual_amount</t>
        </is>
      </c>
    </row>
    <row r="405">
      <c r="A405" s="14" t="inlineStr">
        <is>
          <t>SARS Rates of Tax for Individuals, 2027 tax year (1 March 2026 - 28 February 2027)</t>
        </is>
      </c>
      <c r="B405" s="14" t="inlineStr"/>
      <c r="C405" s="17" t="inlineStr">
        <is>
          <t>https://www.sars.gov.za/tax-rates/income-tax/rates-of-tax-for-individuals/</t>
        </is>
      </c>
      <c r="D405" s="15" t="inlineStr">
        <is>
          <t>REF-2026.03.01-r2</t>
        </is>
      </c>
      <c r="E405" s="15" t="inlineStr">
        <is>
          <t>paye_rebate</t>
        </is>
      </c>
      <c r="F405" s="14" t="inlineStr">
        <is>
          <t>PAYE tertiary rebate, 2026/2027 — minimum age</t>
        </is>
      </c>
      <c r="G405" s="15" t="inlineStr">
        <is>
          <t>75</t>
        </is>
      </c>
      <c r="H405" s="15" t="inlineStr"/>
      <c r="I405" s="15" t="inlineStr"/>
      <c r="J405" s="15" t="inlineStr">
        <is>
          <t>paye_rebate:3:min_age</t>
        </is>
      </c>
    </row>
    <row r="406">
      <c r="A406" s="14" t="inlineStr">
        <is>
          <t>SARS Rates of Tax for Individuals, 2027 tax year (1 March 2026 - 28 February 2027)</t>
        </is>
      </c>
      <c r="B406" s="14" t="inlineStr"/>
      <c r="C406" s="17" t="inlineStr">
        <is>
          <t>https://www.sars.gov.za/tax-rates/income-tax/rates-of-tax-for-individuals/</t>
        </is>
      </c>
      <c r="D406" s="15" t="inlineStr">
        <is>
          <t>REF-2026.03.01-r2</t>
        </is>
      </c>
      <c r="E406" s="15" t="inlineStr">
        <is>
          <t>paye_rebate</t>
        </is>
      </c>
      <c r="F406" s="14" t="inlineStr">
        <is>
          <t>PAYE tertiary rebate, 2026/2027 — annual tax threshold</t>
        </is>
      </c>
      <c r="G406" s="15" t="inlineStr">
        <is>
          <t>R 171 300,00</t>
        </is>
      </c>
      <c r="H406" s="15" t="inlineStr"/>
      <c r="I406" s="15" t="inlineStr"/>
      <c r="J406" s="15" t="inlineStr">
        <is>
          <t>paye_rebate:3:tax_threshold_annual</t>
        </is>
      </c>
    </row>
    <row r="407">
      <c r="A407" s="14" t="inlineStr">
        <is>
          <t>SARS Rates of Tax for Individuals, 2027 tax year (1 March 2026 - 28 February 2027)</t>
        </is>
      </c>
      <c r="B407" s="14" t="inlineStr"/>
      <c r="C407" s="17" t="inlineStr">
        <is>
          <t>https://www.sars.gov.za/tax-rates/income-tax/rates-of-tax-for-individuals/</t>
        </is>
      </c>
      <c r="D407" s="15" t="inlineStr">
        <is>
          <t>REF-2026.03.01-r2</t>
        </is>
      </c>
      <c r="E407" s="15" t="inlineStr">
        <is>
          <t>paye_tax_bracket</t>
        </is>
      </c>
      <c r="F407" s="14" t="inlineStr">
        <is>
          <t>PAYE bracket 1, 2026/2027 — cumulative tax at the bottom of the bracket</t>
        </is>
      </c>
      <c r="G407" s="15" t="inlineStr">
        <is>
          <t>R 0,00</t>
        </is>
      </c>
      <c r="H407" s="15" t="inlineStr"/>
      <c r="I407" s="15" t="inlineStr"/>
      <c r="J407" s="15" t="inlineStr">
        <is>
          <t>paye_tax_bracket:1:base_tax</t>
        </is>
      </c>
    </row>
    <row r="408">
      <c r="A408" s="14" t="inlineStr">
        <is>
          <t>SARS Rates of Tax for Individuals, 2027 tax year (1 March 2026 - 28 February 2027)</t>
        </is>
      </c>
      <c r="B408" s="14" t="inlineStr"/>
      <c r="C408" s="17" t="inlineStr">
        <is>
          <t>https://www.sars.gov.za/tax-rates/income-tax/rates-of-tax-for-individuals/</t>
        </is>
      </c>
      <c r="D408" s="15" t="inlineStr">
        <is>
          <t>REF-2026.03.01-r2</t>
        </is>
      </c>
      <c r="E408" s="15" t="inlineStr">
        <is>
          <t>paye_tax_bracket</t>
        </is>
      </c>
      <c r="F408" s="14" t="inlineStr">
        <is>
          <t>PAYE bracket 1, 2026/2027 — income from</t>
        </is>
      </c>
      <c r="G408" s="15" t="inlineStr">
        <is>
          <t>R 0,00</t>
        </is>
      </c>
      <c r="H408" s="15" t="inlineStr"/>
      <c r="I408" s="15" t="inlineStr"/>
      <c r="J408" s="15" t="inlineStr">
        <is>
          <t>paye_tax_bracket:1:income_from</t>
        </is>
      </c>
    </row>
    <row r="409">
      <c r="A409" s="14" t="inlineStr">
        <is>
          <t>SARS Rates of Tax for Individuals, 2027 tax year (1 March 2026 - 28 February 2027)</t>
        </is>
      </c>
      <c r="B409" s="14" t="inlineStr"/>
      <c r="C409" s="17" t="inlineStr">
        <is>
          <t>https://www.sars.gov.za/tax-rates/income-tax/rates-of-tax-for-individuals/</t>
        </is>
      </c>
      <c r="D409" s="15" t="inlineStr">
        <is>
          <t>REF-2026.03.01-r2</t>
        </is>
      </c>
      <c r="E409" s="15" t="inlineStr">
        <is>
          <t>paye_tax_bracket</t>
        </is>
      </c>
      <c r="F409" s="14" t="inlineStr">
        <is>
          <t>PAYE bracket 1, 2026/2027 — income to</t>
        </is>
      </c>
      <c r="G409" s="15" t="inlineStr">
        <is>
          <t>R 245 100,00</t>
        </is>
      </c>
      <c r="H409" s="15" t="inlineStr"/>
      <c r="I409" s="15" t="inlineStr"/>
      <c r="J409" s="15" t="inlineStr">
        <is>
          <t>paye_tax_bracket:1:income_to</t>
        </is>
      </c>
    </row>
    <row r="410">
      <c r="A410" s="14" t="inlineStr">
        <is>
          <t>SARS Rates of Tax for Individuals, 2027 tax year (1 March 2026 - 28 February 2027)</t>
        </is>
      </c>
      <c r="B410" s="14" t="inlineStr"/>
      <c r="C410" s="17" t="inlineStr">
        <is>
          <t>https://www.sars.gov.za/tax-rates/income-tax/rates-of-tax-for-individuals/</t>
        </is>
      </c>
      <c r="D410" s="15" t="inlineStr">
        <is>
          <t>REF-2026.03.01-r2</t>
        </is>
      </c>
      <c r="E410" s="15" t="inlineStr">
        <is>
          <t>paye_tax_bracket</t>
        </is>
      </c>
      <c r="F410" s="14" t="inlineStr">
        <is>
          <t>PAYE bracket 1, 2026/2027 — marginal rate</t>
        </is>
      </c>
      <c r="G410" s="15" t="inlineStr">
        <is>
          <t>18,00 %</t>
        </is>
      </c>
      <c r="H410" s="15" t="inlineStr"/>
      <c r="I410" s="15" t="inlineStr"/>
      <c r="J410" s="15" t="inlineStr">
        <is>
          <t>paye_tax_bracket:1:marginal_rate_pct</t>
        </is>
      </c>
    </row>
    <row r="411">
      <c r="A411" s="14" t="inlineStr">
        <is>
          <t>SARS Rates of Tax for Individuals, 2027 tax year (1 March 2026 - 28 February 2027)</t>
        </is>
      </c>
      <c r="B411" s="14" t="inlineStr"/>
      <c r="C411" s="17" t="inlineStr">
        <is>
          <t>https://www.sars.gov.za/tax-rates/income-tax/rates-of-tax-for-individuals/</t>
        </is>
      </c>
      <c r="D411" s="15" t="inlineStr">
        <is>
          <t>REF-2026.03.01-r2</t>
        </is>
      </c>
      <c r="E411" s="15" t="inlineStr">
        <is>
          <t>paye_tax_bracket</t>
        </is>
      </c>
      <c r="F411" s="14" t="inlineStr">
        <is>
          <t>PAYE bracket 2, 2026/2027 — cumulative tax at the bottom of the bracket</t>
        </is>
      </c>
      <c r="G411" s="15" t="inlineStr">
        <is>
          <t>R 44 118,00</t>
        </is>
      </c>
      <c r="H411" s="15" t="inlineStr"/>
      <c r="I411" s="15" t="inlineStr"/>
      <c r="J411" s="15" t="inlineStr">
        <is>
          <t>paye_tax_bracket:2:base_tax</t>
        </is>
      </c>
    </row>
    <row r="412">
      <c r="A412" s="14" t="inlineStr">
        <is>
          <t>SARS Rates of Tax for Individuals, 2027 tax year (1 March 2026 - 28 February 2027)</t>
        </is>
      </c>
      <c r="B412" s="14" t="inlineStr"/>
      <c r="C412" s="17" t="inlineStr">
        <is>
          <t>https://www.sars.gov.za/tax-rates/income-tax/rates-of-tax-for-individuals/</t>
        </is>
      </c>
      <c r="D412" s="15" t="inlineStr">
        <is>
          <t>REF-2026.03.01-r2</t>
        </is>
      </c>
      <c r="E412" s="15" t="inlineStr">
        <is>
          <t>paye_tax_bracket</t>
        </is>
      </c>
      <c r="F412" s="14" t="inlineStr">
        <is>
          <t>PAYE bracket 2, 2026/2027 — income from</t>
        </is>
      </c>
      <c r="G412" s="15" t="inlineStr">
        <is>
          <t>R 245 100,00</t>
        </is>
      </c>
      <c r="H412" s="15" t="inlineStr"/>
      <c r="I412" s="15" t="inlineStr"/>
      <c r="J412" s="15" t="inlineStr">
        <is>
          <t>paye_tax_bracket:2:income_from</t>
        </is>
      </c>
    </row>
    <row r="413">
      <c r="A413" s="14" t="inlineStr">
        <is>
          <t>SARS Rates of Tax for Individuals, 2027 tax year (1 March 2026 - 28 February 2027)</t>
        </is>
      </c>
      <c r="B413" s="14" t="inlineStr"/>
      <c r="C413" s="17" t="inlineStr">
        <is>
          <t>https://www.sars.gov.za/tax-rates/income-tax/rates-of-tax-for-individuals/</t>
        </is>
      </c>
      <c r="D413" s="15" t="inlineStr">
        <is>
          <t>REF-2026.03.01-r2</t>
        </is>
      </c>
      <c r="E413" s="15" t="inlineStr">
        <is>
          <t>paye_tax_bracket</t>
        </is>
      </c>
      <c r="F413" s="14" t="inlineStr">
        <is>
          <t>PAYE bracket 2, 2026/2027 — income to</t>
        </is>
      </c>
      <c r="G413" s="15" t="inlineStr">
        <is>
          <t>R 383 100,00</t>
        </is>
      </c>
      <c r="H413" s="15" t="inlineStr"/>
      <c r="I413" s="15" t="inlineStr"/>
      <c r="J413" s="15" t="inlineStr">
        <is>
          <t>paye_tax_bracket:2:income_to</t>
        </is>
      </c>
    </row>
    <row r="414">
      <c r="A414" s="14" t="inlineStr">
        <is>
          <t>SARS Rates of Tax for Individuals, 2027 tax year (1 March 2026 - 28 February 2027)</t>
        </is>
      </c>
      <c r="B414" s="14" t="inlineStr"/>
      <c r="C414" s="17" t="inlineStr">
        <is>
          <t>https://www.sars.gov.za/tax-rates/income-tax/rates-of-tax-for-individuals/</t>
        </is>
      </c>
      <c r="D414" s="15" t="inlineStr">
        <is>
          <t>REF-2026.03.01-r2</t>
        </is>
      </c>
      <c r="E414" s="15" t="inlineStr">
        <is>
          <t>paye_tax_bracket</t>
        </is>
      </c>
      <c r="F414" s="14" t="inlineStr">
        <is>
          <t>PAYE bracket 2, 2026/2027 — marginal rate</t>
        </is>
      </c>
      <c r="G414" s="15" t="inlineStr">
        <is>
          <t>26,00 %</t>
        </is>
      </c>
      <c r="H414" s="15" t="inlineStr"/>
      <c r="I414" s="15" t="inlineStr"/>
      <c r="J414" s="15" t="inlineStr">
        <is>
          <t>paye_tax_bracket:2:marginal_rate_pct</t>
        </is>
      </c>
    </row>
    <row r="415">
      <c r="A415" s="14" t="inlineStr">
        <is>
          <t>SARS Rates of Tax for Individuals, 2027 tax year (1 March 2026 - 28 February 2027)</t>
        </is>
      </c>
      <c r="B415" s="14" t="inlineStr"/>
      <c r="C415" s="17" t="inlineStr">
        <is>
          <t>https://www.sars.gov.za/tax-rates/income-tax/rates-of-tax-for-individuals/</t>
        </is>
      </c>
      <c r="D415" s="15" t="inlineStr">
        <is>
          <t>REF-2026.03.01-r2</t>
        </is>
      </c>
      <c r="E415" s="15" t="inlineStr">
        <is>
          <t>paye_tax_bracket</t>
        </is>
      </c>
      <c r="F415" s="14" t="inlineStr">
        <is>
          <t>PAYE bracket 3, 2026/2027 — cumulative tax at the bottom of the bracket</t>
        </is>
      </c>
      <c r="G415" s="15" t="inlineStr">
        <is>
          <t>R 79 998,00</t>
        </is>
      </c>
      <c r="H415" s="15" t="inlineStr"/>
      <c r="I415" s="15" t="inlineStr"/>
      <c r="J415" s="15" t="inlineStr">
        <is>
          <t>paye_tax_bracket:3:base_tax</t>
        </is>
      </c>
    </row>
    <row r="416">
      <c r="A416" s="14" t="inlineStr">
        <is>
          <t>SARS Rates of Tax for Individuals, 2027 tax year (1 March 2026 - 28 February 2027)</t>
        </is>
      </c>
      <c r="B416" s="14" t="inlineStr"/>
      <c r="C416" s="17" t="inlineStr">
        <is>
          <t>https://www.sars.gov.za/tax-rates/income-tax/rates-of-tax-for-individuals/</t>
        </is>
      </c>
      <c r="D416" s="15" t="inlineStr">
        <is>
          <t>REF-2026.03.01-r2</t>
        </is>
      </c>
      <c r="E416" s="15" t="inlineStr">
        <is>
          <t>paye_tax_bracket</t>
        </is>
      </c>
      <c r="F416" s="14" t="inlineStr">
        <is>
          <t>PAYE bracket 3, 2026/2027 — income from</t>
        </is>
      </c>
      <c r="G416" s="15" t="inlineStr">
        <is>
          <t>R 383 100,00</t>
        </is>
      </c>
      <c r="H416" s="15" t="inlineStr"/>
      <c r="I416" s="15" t="inlineStr"/>
      <c r="J416" s="15" t="inlineStr">
        <is>
          <t>paye_tax_bracket:3:income_from</t>
        </is>
      </c>
    </row>
    <row r="417">
      <c r="A417" s="14" t="inlineStr">
        <is>
          <t>SARS Rates of Tax for Individuals, 2027 tax year (1 March 2026 - 28 February 2027)</t>
        </is>
      </c>
      <c r="B417" s="14" t="inlineStr"/>
      <c r="C417" s="17" t="inlineStr">
        <is>
          <t>https://www.sars.gov.za/tax-rates/income-tax/rates-of-tax-for-individuals/</t>
        </is>
      </c>
      <c r="D417" s="15" t="inlineStr">
        <is>
          <t>REF-2026.03.01-r2</t>
        </is>
      </c>
      <c r="E417" s="15" t="inlineStr">
        <is>
          <t>paye_tax_bracket</t>
        </is>
      </c>
      <c r="F417" s="14" t="inlineStr">
        <is>
          <t>PAYE bracket 3, 2026/2027 — income to</t>
        </is>
      </c>
      <c r="G417" s="15" t="inlineStr">
        <is>
          <t>R 530 200,00</t>
        </is>
      </c>
      <c r="H417" s="15" t="inlineStr"/>
      <c r="I417" s="15" t="inlineStr"/>
      <c r="J417" s="15" t="inlineStr">
        <is>
          <t>paye_tax_bracket:3:income_to</t>
        </is>
      </c>
    </row>
    <row r="418">
      <c r="A418" s="14" t="inlineStr">
        <is>
          <t>SARS Rates of Tax for Individuals, 2027 tax year (1 March 2026 - 28 February 2027)</t>
        </is>
      </c>
      <c r="B418" s="14" t="inlineStr"/>
      <c r="C418" s="17" t="inlineStr">
        <is>
          <t>https://www.sars.gov.za/tax-rates/income-tax/rates-of-tax-for-individuals/</t>
        </is>
      </c>
      <c r="D418" s="15" t="inlineStr">
        <is>
          <t>REF-2026.03.01-r2</t>
        </is>
      </c>
      <c r="E418" s="15" t="inlineStr">
        <is>
          <t>paye_tax_bracket</t>
        </is>
      </c>
      <c r="F418" s="14" t="inlineStr">
        <is>
          <t>PAYE bracket 3, 2026/2027 — marginal rate</t>
        </is>
      </c>
      <c r="G418" s="15" t="inlineStr">
        <is>
          <t>31,00 %</t>
        </is>
      </c>
      <c r="H418" s="15" t="inlineStr"/>
      <c r="I418" s="15" t="inlineStr"/>
      <c r="J418" s="15" t="inlineStr">
        <is>
          <t>paye_tax_bracket:3:marginal_rate_pct</t>
        </is>
      </c>
    </row>
    <row r="419">
      <c r="A419" s="14" t="inlineStr">
        <is>
          <t>SARS Rates of Tax for Individuals, 2027 tax year (1 March 2026 - 28 February 2027)</t>
        </is>
      </c>
      <c r="B419" s="14" t="inlineStr"/>
      <c r="C419" s="17" t="inlineStr">
        <is>
          <t>https://www.sars.gov.za/tax-rates/income-tax/rates-of-tax-for-individuals/</t>
        </is>
      </c>
      <c r="D419" s="15" t="inlineStr">
        <is>
          <t>REF-2026.03.01-r2</t>
        </is>
      </c>
      <c r="E419" s="15" t="inlineStr">
        <is>
          <t>paye_tax_bracket</t>
        </is>
      </c>
      <c r="F419" s="14" t="inlineStr">
        <is>
          <t>PAYE bracket 4, 2026/2027 — cumulative tax at the bottom of the bracket</t>
        </is>
      </c>
      <c r="G419" s="15" t="inlineStr">
        <is>
          <t>R 125 599,00</t>
        </is>
      </c>
      <c r="H419" s="15" t="inlineStr"/>
      <c r="I419" s="15" t="inlineStr"/>
      <c r="J419" s="15" t="inlineStr">
        <is>
          <t>paye_tax_bracket:4:base_tax</t>
        </is>
      </c>
    </row>
    <row r="420">
      <c r="A420" s="14" t="inlineStr">
        <is>
          <t>SARS Rates of Tax for Individuals, 2027 tax year (1 March 2026 - 28 February 2027)</t>
        </is>
      </c>
      <c r="B420" s="14" t="inlineStr"/>
      <c r="C420" s="17" t="inlineStr">
        <is>
          <t>https://www.sars.gov.za/tax-rates/income-tax/rates-of-tax-for-individuals/</t>
        </is>
      </c>
      <c r="D420" s="15" t="inlineStr">
        <is>
          <t>REF-2026.03.01-r2</t>
        </is>
      </c>
      <c r="E420" s="15" t="inlineStr">
        <is>
          <t>paye_tax_bracket</t>
        </is>
      </c>
      <c r="F420" s="14" t="inlineStr">
        <is>
          <t>PAYE bracket 4, 2026/2027 — income from</t>
        </is>
      </c>
      <c r="G420" s="15" t="inlineStr">
        <is>
          <t>R 530 200,00</t>
        </is>
      </c>
      <c r="H420" s="15" t="inlineStr"/>
      <c r="I420" s="15" t="inlineStr"/>
      <c r="J420" s="15" t="inlineStr">
        <is>
          <t>paye_tax_bracket:4:income_from</t>
        </is>
      </c>
    </row>
    <row r="421">
      <c r="A421" s="14" t="inlineStr">
        <is>
          <t>SARS Rates of Tax for Individuals, 2027 tax year (1 March 2026 - 28 February 2027)</t>
        </is>
      </c>
      <c r="B421" s="14" t="inlineStr"/>
      <c r="C421" s="17" t="inlineStr">
        <is>
          <t>https://www.sars.gov.za/tax-rates/income-tax/rates-of-tax-for-individuals/</t>
        </is>
      </c>
      <c r="D421" s="15" t="inlineStr">
        <is>
          <t>REF-2026.03.01-r2</t>
        </is>
      </c>
      <c r="E421" s="15" t="inlineStr">
        <is>
          <t>paye_tax_bracket</t>
        </is>
      </c>
      <c r="F421" s="14" t="inlineStr">
        <is>
          <t>PAYE bracket 4, 2026/2027 — income to</t>
        </is>
      </c>
      <c r="G421" s="15" t="inlineStr">
        <is>
          <t>R 695 800,00</t>
        </is>
      </c>
      <c r="H421" s="15" t="inlineStr"/>
      <c r="I421" s="15" t="inlineStr"/>
      <c r="J421" s="15" t="inlineStr">
        <is>
          <t>paye_tax_bracket:4:income_to</t>
        </is>
      </c>
    </row>
    <row r="422">
      <c r="A422" s="14" t="inlineStr">
        <is>
          <t>SARS Rates of Tax for Individuals, 2027 tax year (1 March 2026 - 28 February 2027)</t>
        </is>
      </c>
      <c r="B422" s="14" t="inlineStr"/>
      <c r="C422" s="17" t="inlineStr">
        <is>
          <t>https://www.sars.gov.za/tax-rates/income-tax/rates-of-tax-for-individuals/</t>
        </is>
      </c>
      <c r="D422" s="15" t="inlineStr">
        <is>
          <t>REF-2026.03.01-r2</t>
        </is>
      </c>
      <c r="E422" s="15" t="inlineStr">
        <is>
          <t>paye_tax_bracket</t>
        </is>
      </c>
      <c r="F422" s="14" t="inlineStr">
        <is>
          <t>PAYE bracket 4, 2026/2027 — marginal rate</t>
        </is>
      </c>
      <c r="G422" s="15" t="inlineStr">
        <is>
          <t>36,00 %</t>
        </is>
      </c>
      <c r="H422" s="15" t="inlineStr"/>
      <c r="I422" s="15" t="inlineStr"/>
      <c r="J422" s="15" t="inlineStr">
        <is>
          <t>paye_tax_bracket:4:marginal_rate_pct</t>
        </is>
      </c>
    </row>
    <row r="423">
      <c r="A423" s="14" t="inlineStr">
        <is>
          <t>SARS Rates of Tax for Individuals, 2027 tax year (1 March 2026 - 28 February 2027)</t>
        </is>
      </c>
      <c r="B423" s="14" t="inlineStr"/>
      <c r="C423" s="17" t="inlineStr">
        <is>
          <t>https://www.sars.gov.za/tax-rates/income-tax/rates-of-tax-for-individuals/</t>
        </is>
      </c>
      <c r="D423" s="15" t="inlineStr">
        <is>
          <t>REF-2026.03.01-r2</t>
        </is>
      </c>
      <c r="E423" s="15" t="inlineStr">
        <is>
          <t>paye_tax_bracket</t>
        </is>
      </c>
      <c r="F423" s="14" t="inlineStr">
        <is>
          <t>PAYE bracket 5, 2026/2027 — cumulative tax at the bottom of the bracket</t>
        </is>
      </c>
      <c r="G423" s="15" t="inlineStr">
        <is>
          <t>R 185 215,00</t>
        </is>
      </c>
      <c r="H423" s="15" t="inlineStr"/>
      <c r="I423" s="15" t="inlineStr"/>
      <c r="J423" s="15" t="inlineStr">
        <is>
          <t>paye_tax_bracket:5:base_tax</t>
        </is>
      </c>
    </row>
    <row r="424">
      <c r="A424" s="14" t="inlineStr">
        <is>
          <t>SARS Rates of Tax for Individuals, 2027 tax year (1 March 2026 - 28 February 2027)</t>
        </is>
      </c>
      <c r="B424" s="14" t="inlineStr"/>
      <c r="C424" s="17" t="inlineStr">
        <is>
          <t>https://www.sars.gov.za/tax-rates/income-tax/rates-of-tax-for-individuals/</t>
        </is>
      </c>
      <c r="D424" s="15" t="inlineStr">
        <is>
          <t>REF-2026.03.01-r2</t>
        </is>
      </c>
      <c r="E424" s="15" t="inlineStr">
        <is>
          <t>paye_tax_bracket</t>
        </is>
      </c>
      <c r="F424" s="14" t="inlineStr">
        <is>
          <t>PAYE bracket 5, 2026/2027 — income from</t>
        </is>
      </c>
      <c r="G424" s="15" t="inlineStr">
        <is>
          <t>R 695 800,00</t>
        </is>
      </c>
      <c r="H424" s="15" t="inlineStr"/>
      <c r="I424" s="15" t="inlineStr"/>
      <c r="J424" s="15" t="inlineStr">
        <is>
          <t>paye_tax_bracket:5:income_from</t>
        </is>
      </c>
    </row>
    <row r="425">
      <c r="A425" s="14" t="inlineStr">
        <is>
          <t>SARS Rates of Tax for Individuals, 2027 tax year (1 March 2026 - 28 February 2027)</t>
        </is>
      </c>
      <c r="B425" s="14" t="inlineStr"/>
      <c r="C425" s="17" t="inlineStr">
        <is>
          <t>https://www.sars.gov.za/tax-rates/income-tax/rates-of-tax-for-individuals/</t>
        </is>
      </c>
      <c r="D425" s="15" t="inlineStr">
        <is>
          <t>REF-2026.03.01-r2</t>
        </is>
      </c>
      <c r="E425" s="15" t="inlineStr">
        <is>
          <t>paye_tax_bracket</t>
        </is>
      </c>
      <c r="F425" s="14" t="inlineStr">
        <is>
          <t>PAYE bracket 5, 2026/2027 — income to</t>
        </is>
      </c>
      <c r="G425" s="15" t="inlineStr">
        <is>
          <t>R 887 000,00</t>
        </is>
      </c>
      <c r="H425" s="15" t="inlineStr"/>
      <c r="I425" s="15" t="inlineStr"/>
      <c r="J425" s="15" t="inlineStr">
        <is>
          <t>paye_tax_bracket:5:income_to</t>
        </is>
      </c>
    </row>
    <row r="426">
      <c r="A426" s="14" t="inlineStr">
        <is>
          <t>SARS Rates of Tax for Individuals, 2027 tax year (1 March 2026 - 28 February 2027)</t>
        </is>
      </c>
      <c r="B426" s="14" t="inlineStr"/>
      <c r="C426" s="17" t="inlineStr">
        <is>
          <t>https://www.sars.gov.za/tax-rates/income-tax/rates-of-tax-for-individuals/</t>
        </is>
      </c>
      <c r="D426" s="15" t="inlineStr">
        <is>
          <t>REF-2026.03.01-r2</t>
        </is>
      </c>
      <c r="E426" s="15" t="inlineStr">
        <is>
          <t>paye_tax_bracket</t>
        </is>
      </c>
      <c r="F426" s="14" t="inlineStr">
        <is>
          <t>PAYE bracket 5, 2026/2027 — marginal rate</t>
        </is>
      </c>
      <c r="G426" s="15" t="inlineStr">
        <is>
          <t>39,00 %</t>
        </is>
      </c>
      <c r="H426" s="15" t="inlineStr"/>
      <c r="I426" s="15" t="inlineStr"/>
      <c r="J426" s="15" t="inlineStr">
        <is>
          <t>paye_tax_bracket:5:marginal_rate_pct</t>
        </is>
      </c>
    </row>
    <row r="427">
      <c r="A427" s="14" t="inlineStr">
        <is>
          <t>SARS Rates of Tax for Individuals, 2027 tax year (1 March 2026 - 28 February 2027)</t>
        </is>
      </c>
      <c r="B427" s="14" t="inlineStr"/>
      <c r="C427" s="17" t="inlineStr">
        <is>
          <t>https://www.sars.gov.za/tax-rates/income-tax/rates-of-tax-for-individuals/</t>
        </is>
      </c>
      <c r="D427" s="15" t="inlineStr">
        <is>
          <t>REF-2026.03.01-r2</t>
        </is>
      </c>
      <c r="E427" s="15" t="inlineStr">
        <is>
          <t>paye_tax_bracket</t>
        </is>
      </c>
      <c r="F427" s="14" t="inlineStr">
        <is>
          <t>PAYE bracket 6, 2026/2027 — cumulative tax at the bottom of the bracket</t>
        </is>
      </c>
      <c r="G427" s="15" t="inlineStr">
        <is>
          <t>R 259 783,00</t>
        </is>
      </c>
      <c r="H427" s="15" t="inlineStr"/>
      <c r="I427" s="15" t="inlineStr"/>
      <c r="J427" s="15" t="inlineStr">
        <is>
          <t>paye_tax_bracket:6:base_tax</t>
        </is>
      </c>
    </row>
    <row r="428">
      <c r="A428" s="14" t="inlineStr">
        <is>
          <t>SARS Rates of Tax for Individuals, 2027 tax year (1 March 2026 - 28 February 2027)</t>
        </is>
      </c>
      <c r="B428" s="14" t="inlineStr"/>
      <c r="C428" s="17" t="inlineStr">
        <is>
          <t>https://www.sars.gov.za/tax-rates/income-tax/rates-of-tax-for-individuals/</t>
        </is>
      </c>
      <c r="D428" s="15" t="inlineStr">
        <is>
          <t>REF-2026.03.01-r2</t>
        </is>
      </c>
      <c r="E428" s="15" t="inlineStr">
        <is>
          <t>paye_tax_bracket</t>
        </is>
      </c>
      <c r="F428" s="14" t="inlineStr">
        <is>
          <t>PAYE bracket 6, 2026/2027 — income from</t>
        </is>
      </c>
      <c r="G428" s="15" t="inlineStr">
        <is>
          <t>R 887 000,00</t>
        </is>
      </c>
      <c r="H428" s="15" t="inlineStr"/>
      <c r="I428" s="15" t="inlineStr"/>
      <c r="J428" s="15" t="inlineStr">
        <is>
          <t>paye_tax_bracket:6:income_from</t>
        </is>
      </c>
    </row>
    <row r="429">
      <c r="A429" s="14" t="inlineStr">
        <is>
          <t>SARS Rates of Tax for Individuals, 2027 tax year (1 March 2026 - 28 February 2027)</t>
        </is>
      </c>
      <c r="B429" s="14" t="inlineStr"/>
      <c r="C429" s="17" t="inlineStr">
        <is>
          <t>https://www.sars.gov.za/tax-rates/income-tax/rates-of-tax-for-individuals/</t>
        </is>
      </c>
      <c r="D429" s="15" t="inlineStr">
        <is>
          <t>REF-2026.03.01-r2</t>
        </is>
      </c>
      <c r="E429" s="15" t="inlineStr">
        <is>
          <t>paye_tax_bracket</t>
        </is>
      </c>
      <c r="F429" s="14" t="inlineStr">
        <is>
          <t>PAYE bracket 6, 2026/2027 — income to</t>
        </is>
      </c>
      <c r="G429" s="15" t="inlineStr">
        <is>
          <t>R 1 878 600,00</t>
        </is>
      </c>
      <c r="H429" s="15" t="inlineStr"/>
      <c r="I429" s="15" t="inlineStr"/>
      <c r="J429" s="15" t="inlineStr">
        <is>
          <t>paye_tax_bracket:6:income_to</t>
        </is>
      </c>
    </row>
    <row r="430">
      <c r="A430" s="14" t="inlineStr">
        <is>
          <t>SARS Rates of Tax for Individuals, 2027 tax year (1 March 2026 - 28 February 2027)</t>
        </is>
      </c>
      <c r="B430" s="14" t="inlineStr"/>
      <c r="C430" s="17" t="inlineStr">
        <is>
          <t>https://www.sars.gov.za/tax-rates/income-tax/rates-of-tax-for-individuals/</t>
        </is>
      </c>
      <c r="D430" s="15" t="inlineStr">
        <is>
          <t>REF-2026.03.01-r2</t>
        </is>
      </c>
      <c r="E430" s="15" t="inlineStr">
        <is>
          <t>paye_tax_bracket</t>
        </is>
      </c>
      <c r="F430" s="14" t="inlineStr">
        <is>
          <t>PAYE bracket 6, 2026/2027 — marginal rate</t>
        </is>
      </c>
      <c r="G430" s="15" t="inlineStr">
        <is>
          <t>41,00 %</t>
        </is>
      </c>
      <c r="H430" s="15" t="inlineStr"/>
      <c r="I430" s="15" t="inlineStr"/>
      <c r="J430" s="15" t="inlineStr">
        <is>
          <t>paye_tax_bracket:6:marginal_rate_pct</t>
        </is>
      </c>
    </row>
    <row r="431">
      <c r="A431" s="14" t="inlineStr">
        <is>
          <t>SARS Rates of Tax for Individuals, 2027 tax year (1 March 2026 - 28 February 2027)</t>
        </is>
      </c>
      <c r="B431" s="14" t="inlineStr"/>
      <c r="C431" s="17" t="inlineStr">
        <is>
          <t>https://www.sars.gov.za/tax-rates/income-tax/rates-of-tax-for-individuals/</t>
        </is>
      </c>
      <c r="D431" s="15" t="inlineStr">
        <is>
          <t>REF-2026.03.01-r2</t>
        </is>
      </c>
      <c r="E431" s="15" t="inlineStr">
        <is>
          <t>paye_tax_bracket</t>
        </is>
      </c>
      <c r="F431" s="14" t="inlineStr">
        <is>
          <t>PAYE bracket 7, 2026/2027 — cumulative tax at the bottom of the bracket</t>
        </is>
      </c>
      <c r="G431" s="15" t="inlineStr">
        <is>
          <t>R 666 339,00</t>
        </is>
      </c>
      <c r="H431" s="15" t="inlineStr"/>
      <c r="I431" s="15" t="inlineStr"/>
      <c r="J431" s="15" t="inlineStr">
        <is>
          <t>paye_tax_bracket:7:base_tax</t>
        </is>
      </c>
    </row>
    <row r="432">
      <c r="A432" s="14" t="inlineStr">
        <is>
          <t>SARS Rates of Tax for Individuals, 2027 tax year (1 March 2026 - 28 February 2027)</t>
        </is>
      </c>
      <c r="B432" s="14" t="inlineStr"/>
      <c r="C432" s="17" t="inlineStr">
        <is>
          <t>https://www.sars.gov.za/tax-rates/income-tax/rates-of-tax-for-individuals/</t>
        </is>
      </c>
      <c r="D432" s="15" t="inlineStr">
        <is>
          <t>REF-2026.03.01-r2</t>
        </is>
      </c>
      <c r="E432" s="15" t="inlineStr">
        <is>
          <t>paye_tax_bracket</t>
        </is>
      </c>
      <c r="F432" s="14" t="inlineStr">
        <is>
          <t>PAYE bracket 7, 2026/2027 — income from</t>
        </is>
      </c>
      <c r="G432" s="15" t="inlineStr">
        <is>
          <t>R 1 878 600,00</t>
        </is>
      </c>
      <c r="H432" s="15" t="inlineStr"/>
      <c r="I432" s="15" t="inlineStr"/>
      <c r="J432" s="15" t="inlineStr">
        <is>
          <t>paye_tax_bracket:7:income_from</t>
        </is>
      </c>
    </row>
    <row r="433">
      <c r="A433" s="14" t="inlineStr">
        <is>
          <t>SARS Rates of Tax for Individuals, 2027 tax year (1 March 2026 - 28 February 2027)</t>
        </is>
      </c>
      <c r="B433" s="14" t="inlineStr"/>
      <c r="C433" s="17" t="inlineStr">
        <is>
          <t>https://www.sars.gov.za/tax-rates/income-tax/rates-of-tax-for-individuals/</t>
        </is>
      </c>
      <c r="D433" s="15" t="inlineStr">
        <is>
          <t>REF-2026.03.01-r2</t>
        </is>
      </c>
      <c r="E433" s="15" t="inlineStr">
        <is>
          <t>paye_tax_bracket</t>
        </is>
      </c>
      <c r="F433" s="14" t="inlineStr">
        <is>
          <t>PAYE bracket 7, 2026/2027 — marginal rate</t>
        </is>
      </c>
      <c r="G433" s="15" t="inlineStr">
        <is>
          <t>45,00 %</t>
        </is>
      </c>
      <c r="H433" s="15" t="inlineStr"/>
      <c r="I433" s="15" t="inlineStr"/>
      <c r="J433" s="15" t="inlineStr">
        <is>
          <t>paye_tax_bracket:7:marginal_rate_pct</t>
        </is>
      </c>
    </row>
    <row r="434">
      <c r="A434" s="10" t="inlineStr">
        <is>
          <t>Sectoral Determination 1: Contract Cleaning Sector, current consolidated text (clauses 3, 8-24)</t>
        </is>
      </c>
      <c r="B434" s="10" t="inlineStr">
        <is>
          <t>clause 23(1)(a)</t>
        </is>
      </c>
      <c r="C434" s="11" t="inlineStr"/>
      <c r="D434" s="11" t="inlineStr">
        <is>
          <t>REF-2026.03.01-NOTICE-BANDS-3</t>
        </is>
      </c>
      <c r="E434" s="11" t="inlineStr">
        <is>
          <t>termination_notice_band</t>
        </is>
      </c>
      <c r="F434" s="10" t="inlineStr">
        <is>
          <t>Notice band 1 — CONTRACT_CLEANING, 0.00 weeks to 4.00 weeks — is contested</t>
        </is>
      </c>
      <c r="G434" s="11" t="inlineStr">
        <is>
          <t>No</t>
        </is>
      </c>
      <c r="H434" s="11" t="inlineStr"/>
      <c r="I434" s="11" t="inlineStr"/>
      <c r="J434" s="11" t="inlineStr">
        <is>
          <t>termination_notice_band:6:is_contested</t>
        </is>
      </c>
      <c r="K434" s="13" t="n"/>
      <c r="L434" s="13" t="n"/>
      <c r="M434" s="13" t="n"/>
      <c r="N434" s="13" t="n"/>
    </row>
    <row r="435">
      <c r="A435" s="14" t="inlineStr">
        <is>
          <t>Sectoral Determination 1: Contract Cleaning Sector, current consolidated text (clauses 3, 8-24)</t>
        </is>
      </c>
      <c r="B435" s="14" t="inlineStr">
        <is>
          <t>clause 23(1)(a)</t>
        </is>
      </c>
      <c r="C435" s="15" t="inlineStr"/>
      <c r="D435" s="15" t="inlineStr">
        <is>
          <t>REF-2026.03.01-NOTICE-BANDS-3</t>
        </is>
      </c>
      <c r="E435" s="15" t="inlineStr">
        <is>
          <t>termination_notice_band</t>
        </is>
      </c>
      <c r="F435" s="14" t="inlineStr">
        <is>
          <t>Notice band 1 — CONTRACT_CLEANING, 0.00 weeks to 4.00 weeks — notice unit</t>
        </is>
      </c>
      <c r="G435" s="15" t="inlineStr">
        <is>
          <t>Days</t>
        </is>
      </c>
      <c r="H435" s="15" t="inlineStr"/>
      <c r="I435" s="15" t="inlineStr"/>
      <c r="J435" s="15" t="inlineStr">
        <is>
          <t>termination_notice_band:6:notice_unit</t>
        </is>
      </c>
    </row>
    <row r="436">
      <c r="A436" s="14" t="inlineStr">
        <is>
          <t>Sectoral Determination 1: Contract Cleaning Sector, current consolidated text (clauses 3, 8-24)</t>
        </is>
      </c>
      <c r="B436" s="14" t="inlineStr">
        <is>
          <t>clause 23(1)(a)</t>
        </is>
      </c>
      <c r="C436" s="15" t="inlineStr"/>
      <c r="D436" s="15" t="inlineStr">
        <is>
          <t>REF-2026.03.01-NOTICE-BANDS-3</t>
        </is>
      </c>
      <c r="E436" s="15" t="inlineStr">
        <is>
          <t>termination_notice_band</t>
        </is>
      </c>
      <c r="F436" s="14" t="inlineStr">
        <is>
          <t>Notice band 1 — CONTRACT_CLEANING, 0.00 weeks to 4.00 weeks — notice value</t>
        </is>
      </c>
      <c r="G436" s="15" t="inlineStr">
        <is>
          <t>1,00</t>
        </is>
      </c>
      <c r="H436" s="15" t="inlineStr"/>
      <c r="I436" s="15" t="inlineStr"/>
      <c r="J436" s="15" t="inlineStr">
        <is>
          <t>termination_notice_band:6:notice_value</t>
        </is>
      </c>
    </row>
    <row r="437">
      <c r="A437" s="14" t="inlineStr">
        <is>
          <t>Sectoral Determination 1: Contract Cleaning Sector, current consolidated text (clauses 3, 8-24)</t>
        </is>
      </c>
      <c r="B437" s="14" t="inlineStr">
        <is>
          <t>clause 23(1)(a)</t>
        </is>
      </c>
      <c r="C437" s="15" t="inlineStr"/>
      <c r="D437" s="15" t="inlineStr">
        <is>
          <t>REF-2026.03.01-NOTICE-BANDS-3</t>
        </is>
      </c>
      <c r="E437" s="15" t="inlineStr">
        <is>
          <t>termination_notice_band</t>
        </is>
      </c>
      <c r="F437" s="14" t="inlineStr">
        <is>
          <t>Notice band 1 — CONTRACT_CLEANING, 0.00 weeks to 4.00 weeks — service from inclusive</t>
        </is>
      </c>
      <c r="G437" s="15" t="inlineStr">
        <is>
          <t>Yes</t>
        </is>
      </c>
      <c r="H437" s="15" t="inlineStr"/>
      <c r="I437" s="15" t="inlineStr"/>
      <c r="J437" s="15" t="inlineStr">
        <is>
          <t>termination_notice_band:6:service_from_inclusive</t>
        </is>
      </c>
    </row>
    <row r="438">
      <c r="A438" s="14" t="inlineStr">
        <is>
          <t>Sectoral Determination 1: Contract Cleaning Sector, current consolidated text (clauses 3, 8-24)</t>
        </is>
      </c>
      <c r="B438" s="14" t="inlineStr">
        <is>
          <t>clause 23(1)(a)</t>
        </is>
      </c>
      <c r="C438" s="15" t="inlineStr"/>
      <c r="D438" s="15" t="inlineStr">
        <is>
          <t>REF-2026.03.01-NOTICE-BANDS-3</t>
        </is>
      </c>
      <c r="E438" s="15" t="inlineStr">
        <is>
          <t>termination_notice_band</t>
        </is>
      </c>
      <c r="F438" s="14" t="inlineStr">
        <is>
          <t>Notice band 1 — CONTRACT_CLEANING, 0.00 weeks to 4.00 weeks — service from unit</t>
        </is>
      </c>
      <c r="G438" s="15" t="inlineStr">
        <is>
          <t>Weeks</t>
        </is>
      </c>
      <c r="H438" s="15" t="inlineStr"/>
      <c r="I438" s="15" t="inlineStr"/>
      <c r="J438" s="15" t="inlineStr">
        <is>
          <t>termination_notice_band:6:service_from_unit</t>
        </is>
      </c>
    </row>
    <row r="439">
      <c r="A439" s="14" t="inlineStr">
        <is>
          <t>Sectoral Determination 1: Contract Cleaning Sector, current consolidated text (clauses 3, 8-24)</t>
        </is>
      </c>
      <c r="B439" s="14" t="inlineStr">
        <is>
          <t>clause 23(1)(a)</t>
        </is>
      </c>
      <c r="C439" s="15" t="inlineStr"/>
      <c r="D439" s="15" t="inlineStr">
        <is>
          <t>REF-2026.03.01-NOTICE-BANDS-3</t>
        </is>
      </c>
      <c r="E439" s="15" t="inlineStr">
        <is>
          <t>termination_notice_band</t>
        </is>
      </c>
      <c r="F439" s="14" t="inlineStr">
        <is>
          <t>Notice band 1 — CONTRACT_CLEANING, 0.00 weeks to 4.00 weeks — service from value</t>
        </is>
      </c>
      <c r="G439" s="15" t="inlineStr">
        <is>
          <t>0,00</t>
        </is>
      </c>
      <c r="H439" s="15" t="inlineStr"/>
      <c r="I439" s="15" t="inlineStr"/>
      <c r="J439" s="15" t="inlineStr">
        <is>
          <t>termination_notice_band:6:service_from_value</t>
        </is>
      </c>
    </row>
    <row r="440">
      <c r="A440" s="14" t="inlineStr">
        <is>
          <t>Sectoral Determination 1: Contract Cleaning Sector, current consolidated text (clauses 3, 8-24)</t>
        </is>
      </c>
      <c r="B440" s="14" t="inlineStr">
        <is>
          <t>clause 23(1)(a)</t>
        </is>
      </c>
      <c r="C440" s="15" t="inlineStr"/>
      <c r="D440" s="15" t="inlineStr">
        <is>
          <t>REF-2026.03.01-NOTICE-BANDS-3</t>
        </is>
      </c>
      <c r="E440" s="15" t="inlineStr">
        <is>
          <t>termination_notice_band</t>
        </is>
      </c>
      <c r="F440" s="14" t="inlineStr">
        <is>
          <t>Notice band 1 — CONTRACT_CLEANING, 0.00 weeks to 4.00 weeks — service to inclusive</t>
        </is>
      </c>
      <c r="G440" s="15" t="inlineStr">
        <is>
          <t>Yes</t>
        </is>
      </c>
      <c r="H440" s="15" t="inlineStr"/>
      <c r="I440" s="15" t="inlineStr"/>
      <c r="J440" s="15" t="inlineStr">
        <is>
          <t>termination_notice_band:6:service_to_inclusive</t>
        </is>
      </c>
    </row>
    <row r="441">
      <c r="A441" s="14" t="inlineStr">
        <is>
          <t>Sectoral Determination 1: Contract Cleaning Sector, current consolidated text (clauses 3, 8-24)</t>
        </is>
      </c>
      <c r="B441" s="14" t="inlineStr">
        <is>
          <t>clause 23(1)(a)</t>
        </is>
      </c>
      <c r="C441" s="15" t="inlineStr"/>
      <c r="D441" s="15" t="inlineStr">
        <is>
          <t>REF-2026.03.01-NOTICE-BANDS-3</t>
        </is>
      </c>
      <c r="E441" s="15" t="inlineStr">
        <is>
          <t>termination_notice_band</t>
        </is>
      </c>
      <c r="F441" s="14" t="inlineStr">
        <is>
          <t>Notice band 1 — CONTRACT_CLEANING, 0.00 weeks to 4.00 weeks — service to unit</t>
        </is>
      </c>
      <c r="G441" s="15" t="inlineStr">
        <is>
          <t>Weeks</t>
        </is>
      </c>
      <c r="H441" s="15" t="inlineStr"/>
      <c r="I441" s="15" t="inlineStr"/>
      <c r="J441" s="15" t="inlineStr">
        <is>
          <t>termination_notice_band:6:service_to_unit</t>
        </is>
      </c>
    </row>
    <row r="442">
      <c r="A442" s="14" t="inlineStr">
        <is>
          <t>Sectoral Determination 1: Contract Cleaning Sector, current consolidated text (clauses 3, 8-24)</t>
        </is>
      </c>
      <c r="B442" s="14" t="inlineStr">
        <is>
          <t>clause 23(1)(a)</t>
        </is>
      </c>
      <c r="C442" s="15" t="inlineStr"/>
      <c r="D442" s="15" t="inlineStr">
        <is>
          <t>REF-2026.03.01-NOTICE-BANDS-3</t>
        </is>
      </c>
      <c r="E442" s="15" t="inlineStr">
        <is>
          <t>termination_notice_band</t>
        </is>
      </c>
      <c r="F442" s="14" t="inlineStr">
        <is>
          <t>Notice band 1 — CONTRACT_CLEANING, 0.00 weeks to 4.00 weeks — service to value</t>
        </is>
      </c>
      <c r="G442" s="15" t="inlineStr">
        <is>
          <t>4,00</t>
        </is>
      </c>
      <c r="H442" s="15" t="inlineStr"/>
      <c r="I442" s="15" t="inlineStr"/>
      <c r="J442" s="15" t="inlineStr">
        <is>
          <t>termination_notice_band:6:service_to_value</t>
        </is>
      </c>
    </row>
    <row r="443">
      <c r="A443" s="14" t="inlineStr">
        <is>
          <t>Sectoral Determination 1: Contract Cleaning Sector, current consolidated text (clauses 3, 8-24)</t>
        </is>
      </c>
      <c r="B443" s="14" t="inlineStr">
        <is>
          <t>clause 23(1)(b)</t>
        </is>
      </c>
      <c r="C443" s="15" t="inlineStr"/>
      <c r="D443" s="15" t="inlineStr">
        <is>
          <t>REF-2026.03.01-NOTICE-BANDS-3</t>
        </is>
      </c>
      <c r="E443" s="15" t="inlineStr">
        <is>
          <t>termination_notice_band</t>
        </is>
      </c>
      <c r="F443" s="14" t="inlineStr">
        <is>
          <t>Notice band 2 — CONTRACT_CLEANING, 4.00 weeks to open-ended — is contested</t>
        </is>
      </c>
      <c r="G443" s="15" t="inlineStr">
        <is>
          <t>No</t>
        </is>
      </c>
      <c r="H443" s="15" t="inlineStr"/>
      <c r="I443" s="15" t="inlineStr"/>
      <c r="J443" s="15" t="inlineStr">
        <is>
          <t>termination_notice_band:7:is_contested</t>
        </is>
      </c>
    </row>
    <row r="444">
      <c r="A444" s="14" t="inlineStr">
        <is>
          <t>Sectoral Determination 1: Contract Cleaning Sector, current consolidated text (clauses 3, 8-24)</t>
        </is>
      </c>
      <c r="B444" s="14" t="inlineStr">
        <is>
          <t>clause 23(1)(b)</t>
        </is>
      </c>
      <c r="C444" s="15" t="inlineStr"/>
      <c r="D444" s="15" t="inlineStr">
        <is>
          <t>REF-2026.03.01-NOTICE-BANDS-3</t>
        </is>
      </c>
      <c r="E444" s="15" t="inlineStr">
        <is>
          <t>termination_notice_band</t>
        </is>
      </c>
      <c r="F444" s="14" t="inlineStr">
        <is>
          <t>Notice band 2 — CONTRACT_CLEANING, 4.00 weeks to open-ended — notice unit</t>
        </is>
      </c>
      <c r="G444" s="15" t="inlineStr">
        <is>
          <t>Weeks</t>
        </is>
      </c>
      <c r="H444" s="15" t="inlineStr"/>
      <c r="I444" s="15" t="inlineStr"/>
      <c r="J444" s="15" t="inlineStr">
        <is>
          <t>termination_notice_band:7:notice_unit</t>
        </is>
      </c>
    </row>
    <row r="445">
      <c r="A445" s="14" t="inlineStr">
        <is>
          <t>Sectoral Determination 1: Contract Cleaning Sector, current consolidated text (clauses 3, 8-24)</t>
        </is>
      </c>
      <c r="B445" s="14" t="inlineStr">
        <is>
          <t>clause 23(1)(b)</t>
        </is>
      </c>
      <c r="C445" s="15" t="inlineStr"/>
      <c r="D445" s="15" t="inlineStr">
        <is>
          <t>REF-2026.03.01-NOTICE-BANDS-3</t>
        </is>
      </c>
      <c r="E445" s="15" t="inlineStr">
        <is>
          <t>termination_notice_band</t>
        </is>
      </c>
      <c r="F445" s="14" t="inlineStr">
        <is>
          <t>Notice band 2 — CONTRACT_CLEANING, 4.00 weeks to open-ended — notice value</t>
        </is>
      </c>
      <c r="G445" s="15" t="inlineStr">
        <is>
          <t>4,00</t>
        </is>
      </c>
      <c r="H445" s="15" t="inlineStr"/>
      <c r="I445" s="15" t="inlineStr"/>
      <c r="J445" s="15" t="inlineStr">
        <is>
          <t>termination_notice_band:7:notice_value</t>
        </is>
      </c>
    </row>
    <row r="446">
      <c r="A446" s="14" t="inlineStr">
        <is>
          <t>Sectoral Determination 1: Contract Cleaning Sector, current consolidated text (clauses 3, 8-24)</t>
        </is>
      </c>
      <c r="B446" s="14" t="inlineStr">
        <is>
          <t>clause 23(1)(b)</t>
        </is>
      </c>
      <c r="C446" s="15" t="inlineStr"/>
      <c r="D446" s="15" t="inlineStr">
        <is>
          <t>REF-2026.03.01-NOTICE-BANDS-3</t>
        </is>
      </c>
      <c r="E446" s="15" t="inlineStr">
        <is>
          <t>termination_notice_band</t>
        </is>
      </c>
      <c r="F446" s="14" t="inlineStr">
        <is>
          <t>Notice band 2 — CONTRACT_CLEANING, 4.00 weeks to open-ended — service from inclusive</t>
        </is>
      </c>
      <c r="G446" s="15" t="inlineStr">
        <is>
          <t>No</t>
        </is>
      </c>
      <c r="H446" s="15" t="inlineStr"/>
      <c r="I446" s="15" t="inlineStr"/>
      <c r="J446" s="15" t="inlineStr">
        <is>
          <t>termination_notice_band:7:service_from_inclusive</t>
        </is>
      </c>
    </row>
    <row r="447">
      <c r="A447" s="14" t="inlineStr">
        <is>
          <t>Sectoral Determination 1: Contract Cleaning Sector, current consolidated text (clauses 3, 8-24)</t>
        </is>
      </c>
      <c r="B447" s="14" t="inlineStr">
        <is>
          <t>clause 23(1)(b)</t>
        </is>
      </c>
      <c r="C447" s="15" t="inlineStr"/>
      <c r="D447" s="15" t="inlineStr">
        <is>
          <t>REF-2026.03.01-NOTICE-BANDS-3</t>
        </is>
      </c>
      <c r="E447" s="15" t="inlineStr">
        <is>
          <t>termination_notice_band</t>
        </is>
      </c>
      <c r="F447" s="14" t="inlineStr">
        <is>
          <t>Notice band 2 — CONTRACT_CLEANING, 4.00 weeks to open-ended — service from unit</t>
        </is>
      </c>
      <c r="G447" s="15" t="inlineStr">
        <is>
          <t>Weeks</t>
        </is>
      </c>
      <c r="H447" s="15" t="inlineStr"/>
      <c r="I447" s="15" t="inlineStr"/>
      <c r="J447" s="15" t="inlineStr">
        <is>
          <t>termination_notice_band:7:service_from_unit</t>
        </is>
      </c>
    </row>
    <row r="448">
      <c r="A448" s="14" t="inlineStr">
        <is>
          <t>Sectoral Determination 1: Contract Cleaning Sector, current consolidated text (clauses 3, 8-24)</t>
        </is>
      </c>
      <c r="B448" s="14" t="inlineStr">
        <is>
          <t>clause 23(1)(b)</t>
        </is>
      </c>
      <c r="C448" s="15" t="inlineStr"/>
      <c r="D448" s="15" t="inlineStr">
        <is>
          <t>REF-2026.03.01-NOTICE-BANDS-3</t>
        </is>
      </c>
      <c r="E448" s="15" t="inlineStr">
        <is>
          <t>termination_notice_band</t>
        </is>
      </c>
      <c r="F448" s="14" t="inlineStr">
        <is>
          <t>Notice band 2 — CONTRACT_CLEANING, 4.00 weeks to open-ended — service from value</t>
        </is>
      </c>
      <c r="G448" s="15" t="inlineStr">
        <is>
          <t>4,00</t>
        </is>
      </c>
      <c r="H448" s="15" t="inlineStr"/>
      <c r="I448" s="15" t="inlineStr"/>
      <c r="J448" s="15" t="inlineStr">
        <is>
          <t>termination_notice_band:7:service_from_value</t>
        </is>
      </c>
    </row>
    <row r="449">
      <c r="A449" s="14" t="inlineStr">
        <is>
          <t>Sectoral Determination 1: Contract Cleaning Sector, current consolidated text (clauses 3, 8-24)</t>
        </is>
      </c>
      <c r="B449" s="14" t="inlineStr">
        <is>
          <t>clauses 18, 19 and 22</t>
        </is>
      </c>
      <c r="C449" s="15" t="inlineStr"/>
      <c r="D449" s="15" t="inlineStr">
        <is>
          <t>REF-2026.03.01-SD1-r4</t>
        </is>
      </c>
      <c r="E449" s="15" t="inlineStr">
        <is>
          <t>leave_rule_set</t>
        </is>
      </c>
      <c r="F449" s="14" t="inlineStr">
        <is>
          <t>Leave rules — CONTRACT_CLEANING — annual accrual days per month 5day</t>
        </is>
      </c>
      <c r="G449" s="15" t="inlineStr">
        <is>
          <t>1,250</t>
        </is>
      </c>
      <c r="H449" s="15" t="inlineStr">
        <is>
          <t>2026-03-01</t>
        </is>
      </c>
      <c r="I449" s="15" t="inlineStr"/>
      <c r="J449" s="15" t="inlineStr">
        <is>
          <t>leave_rule_set:3:annual_accrual_days_per_month_5day</t>
        </is>
      </c>
    </row>
    <row r="450">
      <c r="A450" s="14" t="inlineStr">
        <is>
          <t>Sectoral Determination 1: Contract Cleaning Sector, current consolidated text (clauses 3, 8-24)</t>
        </is>
      </c>
      <c r="B450" s="14" t="inlineStr">
        <is>
          <t>clauses 18, 19 and 22</t>
        </is>
      </c>
      <c r="C450" s="15" t="inlineStr"/>
      <c r="D450" s="15" t="inlineStr">
        <is>
          <t>REF-2026.03.01-SD1-r4</t>
        </is>
      </c>
      <c r="E450" s="15" t="inlineStr">
        <is>
          <t>leave_rule_set</t>
        </is>
      </c>
      <c r="F450" s="14" t="inlineStr">
        <is>
          <t>Leave rules — CONTRACT_CLEANING — annual accrual days per month 6day</t>
        </is>
      </c>
      <c r="G450" s="15" t="inlineStr">
        <is>
          <t>1,500</t>
        </is>
      </c>
      <c r="H450" s="15" t="inlineStr">
        <is>
          <t>2026-03-01</t>
        </is>
      </c>
      <c r="I450" s="15" t="inlineStr"/>
      <c r="J450" s="15" t="inlineStr">
        <is>
          <t>leave_rule_set:3:annual_accrual_days_per_month_6day</t>
        </is>
      </c>
    </row>
    <row r="451">
      <c r="A451" s="14" t="inlineStr">
        <is>
          <t>Sectoral Determination 1: Contract Cleaning Sector, current consolidated text (clauses 3, 8-24)</t>
        </is>
      </c>
      <c r="B451" s="14" t="inlineStr">
        <is>
          <t>clauses 18, 19 and 22</t>
        </is>
      </c>
      <c r="C451" s="15" t="inlineStr"/>
      <c r="D451" s="15" t="inlineStr">
        <is>
          <t>REF-2026.03.01-SD1-r4</t>
        </is>
      </c>
      <c r="E451" s="15" t="inlineStr">
        <is>
          <t>leave_rule_set</t>
        </is>
      </c>
      <c r="F451" s="14" t="inlineStr">
        <is>
          <t>Leave rules — CONTRACT_CLEANING — annual accrual ratio days worked</t>
        </is>
      </c>
      <c r="G451" s="15" t="inlineStr">
        <is>
          <t>17</t>
        </is>
      </c>
      <c r="H451" s="15" t="inlineStr">
        <is>
          <t>2026-03-01</t>
        </is>
      </c>
      <c r="I451" s="15" t="inlineStr"/>
      <c r="J451" s="15" t="inlineStr">
        <is>
          <t>leave_rule_set:3:annual_accrual_ratio_days_worked</t>
        </is>
      </c>
    </row>
    <row r="452">
      <c r="A452" s="14" t="inlineStr">
        <is>
          <t>Sectoral Determination 1: Contract Cleaning Sector, current consolidated text (clauses 3, 8-24)</t>
        </is>
      </c>
      <c r="B452" s="14" t="inlineStr">
        <is>
          <t>clauses 18, 19 and 22</t>
        </is>
      </c>
      <c r="C452" s="15" t="inlineStr"/>
      <c r="D452" s="15" t="inlineStr">
        <is>
          <t>REF-2026.03.01-SD1-r4</t>
        </is>
      </c>
      <c r="E452" s="15" t="inlineStr">
        <is>
          <t>leave_rule_set</t>
        </is>
      </c>
      <c r="F452" s="14" t="inlineStr">
        <is>
          <t>Leave rules — CONTRACT_CLEANING — annual accrual ratio hours worked</t>
        </is>
      </c>
      <c r="G452" s="15" t="inlineStr">
        <is>
          <t>17</t>
        </is>
      </c>
      <c r="H452" s="15" t="inlineStr">
        <is>
          <t>2026-03-01</t>
        </is>
      </c>
      <c r="I452" s="15" t="inlineStr"/>
      <c r="J452" s="15" t="inlineStr">
        <is>
          <t>leave_rule_set:3:annual_accrual_ratio_hours_worked</t>
        </is>
      </c>
    </row>
    <row r="453">
      <c r="A453" s="14" t="inlineStr">
        <is>
          <t>Sectoral Determination 1: Contract Cleaning Sector, current consolidated text (clauses 3, 8-24)</t>
        </is>
      </c>
      <c r="B453" s="14" t="inlineStr">
        <is>
          <t>clauses 18, 19 and 22</t>
        </is>
      </c>
      <c r="C453" s="15" t="inlineStr"/>
      <c r="D453" s="15" t="inlineStr">
        <is>
          <t>REF-2026.03.01-SD1-r4</t>
        </is>
      </c>
      <c r="E453" s="15" t="inlineStr">
        <is>
          <t>leave_rule_set</t>
        </is>
      </c>
      <c r="F453" s="14" t="inlineStr">
        <is>
          <t>Leave rules — CONTRACT_CLEANING — annual leave cycle months</t>
        </is>
      </c>
      <c r="G453" s="15" t="inlineStr">
        <is>
          <t>12</t>
        </is>
      </c>
      <c r="H453" s="15" t="inlineStr">
        <is>
          <t>2026-03-01</t>
        </is>
      </c>
      <c r="I453" s="15" t="inlineStr"/>
      <c r="J453" s="15" t="inlineStr">
        <is>
          <t>leave_rule_set:3:annual_leave_cycle_months</t>
        </is>
      </c>
    </row>
    <row r="454">
      <c r="A454" s="14" t="inlineStr">
        <is>
          <t>Sectoral Determination 1: Contract Cleaning Sector, current consolidated text (clauses 3, 8-24)</t>
        </is>
      </c>
      <c r="B454" s="14" t="inlineStr">
        <is>
          <t>clauses 18, 19 and 22</t>
        </is>
      </c>
      <c r="C454" s="15" t="inlineStr"/>
      <c r="D454" s="15" t="inlineStr">
        <is>
          <t>REF-2026.03.01-SD1-r4</t>
        </is>
      </c>
      <c r="E454" s="15" t="inlineStr">
        <is>
          <t>leave_rule_set</t>
        </is>
      </c>
      <c r="F454" s="14" t="inlineStr">
        <is>
          <t>Leave rules — CONTRACT_CLEANING — annual leave days per cycle 5day</t>
        </is>
      </c>
      <c r="G454" s="15" t="inlineStr">
        <is>
          <t>15,000</t>
        </is>
      </c>
      <c r="H454" s="15" t="inlineStr">
        <is>
          <t>2026-03-01</t>
        </is>
      </c>
      <c r="I454" s="15" t="inlineStr"/>
      <c r="J454" s="15" t="inlineStr">
        <is>
          <t>leave_rule_set:3:annual_leave_days_per_cycle_5day</t>
        </is>
      </c>
    </row>
    <row r="455">
      <c r="A455" s="14" t="inlineStr">
        <is>
          <t>Sectoral Determination 1: Contract Cleaning Sector, current consolidated text (clauses 3, 8-24)</t>
        </is>
      </c>
      <c r="B455" s="14" t="inlineStr">
        <is>
          <t>clauses 18, 19 and 22</t>
        </is>
      </c>
      <c r="C455" s="15" t="inlineStr"/>
      <c r="D455" s="15" t="inlineStr">
        <is>
          <t>REF-2026.03.01-SD1-r4</t>
        </is>
      </c>
      <c r="E455" s="15" t="inlineStr">
        <is>
          <t>leave_rule_set</t>
        </is>
      </c>
      <c r="F455" s="14" t="inlineStr">
        <is>
          <t>Leave rules — CONTRACT_CLEANING — annual leave days per cycle 6day</t>
        </is>
      </c>
      <c r="G455" s="15" t="inlineStr">
        <is>
          <t>18,000</t>
        </is>
      </c>
      <c r="H455" s="15" t="inlineStr">
        <is>
          <t>2026-03-01</t>
        </is>
      </c>
      <c r="I455" s="15" t="inlineStr"/>
      <c r="J455" s="15" t="inlineStr">
        <is>
          <t>leave_rule_set:3:annual_leave_days_per_cycle_6day</t>
        </is>
      </c>
    </row>
    <row r="456">
      <c r="A456" s="14" t="inlineStr">
        <is>
          <t>Sectoral Determination 1: Contract Cleaning Sector, current consolidated text (clauses 3, 8-24)</t>
        </is>
      </c>
      <c r="B456" s="14" t="inlineStr">
        <is>
          <t>clauses 18, 19 and 22</t>
        </is>
      </c>
      <c r="C456" s="15" t="inlineStr"/>
      <c r="D456" s="15" t="inlineStr">
        <is>
          <t>REF-2026.03.01-SD1-r4</t>
        </is>
      </c>
      <c r="E456" s="15" t="inlineStr">
        <is>
          <t>leave_rule_set</t>
        </is>
      </c>
      <c r="F456" s="14" t="inlineStr">
        <is>
          <t>Leave rules — CONTRACT_CLEANING — annual leave forfeit months</t>
        </is>
      </c>
      <c r="G456" s="15" t="inlineStr">
        <is>
          <t>6</t>
        </is>
      </c>
      <c r="H456" s="15" t="inlineStr">
        <is>
          <t>2026-03-01</t>
        </is>
      </c>
      <c r="I456" s="15" t="inlineStr"/>
      <c r="J456" s="15" t="inlineStr">
        <is>
          <t>leave_rule_set:3:annual_leave_forfeit_months</t>
        </is>
      </c>
    </row>
    <row r="457">
      <c r="A457" s="14" t="inlineStr">
        <is>
          <t>Sectoral Determination 1: Contract Cleaning Sector, current consolidated text (clauses 3, 8-24)</t>
        </is>
      </c>
      <c r="B457" s="14" t="inlineStr">
        <is>
          <t>clauses 18, 19 and 22</t>
        </is>
      </c>
      <c r="C457" s="15" t="inlineStr"/>
      <c r="D457" s="15" t="inlineStr">
        <is>
          <t>REF-2026.03.01-SD1-r4</t>
        </is>
      </c>
      <c r="E457" s="15" t="inlineStr">
        <is>
          <t>leave_rule_set</t>
        </is>
      </c>
      <c r="F457" s="14" t="inlineStr">
        <is>
          <t>Leave rules — CONTRACT_CLEANING — annual leave payable on termination</t>
        </is>
      </c>
      <c r="G457" s="15" t="inlineStr">
        <is>
          <t>Yes</t>
        </is>
      </c>
      <c r="H457" s="15" t="inlineStr">
        <is>
          <t>2026-03-01</t>
        </is>
      </c>
      <c r="I457" s="15" t="inlineStr"/>
      <c r="J457" s="15" t="inlineStr">
        <is>
          <t>leave_rule_set:3:annual_leave_payable_on_termination</t>
        </is>
      </c>
    </row>
    <row r="458">
      <c r="A458" s="14" t="inlineStr">
        <is>
          <t>Sectoral Determination 1: Contract Cleaning Sector, current consolidated text (clauses 3, 8-24)</t>
        </is>
      </c>
      <c r="B458" s="14" t="inlineStr">
        <is>
          <t>clauses 18, 19 and 22</t>
        </is>
      </c>
      <c r="C458" s="15" t="inlineStr"/>
      <c r="D458" s="15" t="inlineStr">
        <is>
          <t>REF-2026.03.01-SD1-r4</t>
        </is>
      </c>
      <c r="E458" s="15" t="inlineStr">
        <is>
          <t>leave_rule_set</t>
        </is>
      </c>
      <c r="F458" s="14" t="inlineStr">
        <is>
          <t>Leave rules — CONTRACT_CLEANING — family resp min days per week</t>
        </is>
      </c>
      <c r="G458" s="15" t="inlineStr">
        <is>
          <t>4</t>
        </is>
      </c>
      <c r="H458" s="15" t="inlineStr">
        <is>
          <t>2026-03-01</t>
        </is>
      </c>
      <c r="I458" s="15" t="inlineStr"/>
      <c r="J458" s="15" t="inlineStr">
        <is>
          <t>leave_rule_set:3:family_resp_min_days_per_week</t>
        </is>
      </c>
    </row>
    <row r="459">
      <c r="A459" s="14" t="inlineStr">
        <is>
          <t>Sectoral Determination 1: Contract Cleaning Sector, current consolidated text (clauses 3, 8-24)</t>
        </is>
      </c>
      <c r="B459" s="14" t="inlineStr">
        <is>
          <t>clauses 18, 19 and 22</t>
        </is>
      </c>
      <c r="C459" s="15" t="inlineStr"/>
      <c r="D459" s="15" t="inlineStr">
        <is>
          <t>REF-2026.03.01-SD1-r4</t>
        </is>
      </c>
      <c r="E459" s="15" t="inlineStr">
        <is>
          <t>leave_rule_set</t>
        </is>
      </c>
      <c r="F459" s="14" t="inlineStr">
        <is>
          <t>Leave rules — CONTRACT_CLEANING — family resp min service months</t>
        </is>
      </c>
      <c r="G459" s="15" t="inlineStr">
        <is>
          <t>4</t>
        </is>
      </c>
      <c r="H459" s="15" t="inlineStr">
        <is>
          <t>2026-03-01</t>
        </is>
      </c>
      <c r="I459" s="15" t="inlineStr"/>
      <c r="J459" s="15" t="inlineStr">
        <is>
          <t>leave_rule_set:3:family_resp_min_service_months</t>
        </is>
      </c>
    </row>
    <row r="460">
      <c r="A460" s="14" t="inlineStr">
        <is>
          <t>Sectoral Determination 1: Contract Cleaning Sector, current consolidated text (clauses 3, 8-24)</t>
        </is>
      </c>
      <c r="B460" s="14" t="inlineStr">
        <is>
          <t>clauses 18, 19 and 22</t>
        </is>
      </c>
      <c r="C460" s="15" t="inlineStr"/>
      <c r="D460" s="15" t="inlineStr">
        <is>
          <t>REF-2026.03.01-SD1-r4</t>
        </is>
      </c>
      <c r="E460" s="15" t="inlineStr">
        <is>
          <t>leave_rule_set</t>
        </is>
      </c>
      <c r="F460" s="14" t="inlineStr">
        <is>
          <t>Leave rules — CONTRACT_CLEANING — family responsibility days</t>
        </is>
      </c>
      <c r="G460" s="15" t="inlineStr">
        <is>
          <t>3</t>
        </is>
      </c>
      <c r="H460" s="15" t="inlineStr">
        <is>
          <t>2026-03-01</t>
        </is>
      </c>
      <c r="I460" s="15" t="inlineStr"/>
      <c r="J460" s="15" t="inlineStr">
        <is>
          <t>leave_rule_set:3:family_responsibility_days</t>
        </is>
      </c>
    </row>
    <row r="461">
      <c r="A461" s="14" t="inlineStr">
        <is>
          <t>Sectoral Determination 1: Contract Cleaning Sector, current consolidated text (clauses 3, 8-24)</t>
        </is>
      </c>
      <c r="B461" s="14" t="inlineStr">
        <is>
          <t>clauses 18, 19 and 22</t>
        </is>
      </c>
      <c r="C461" s="15" t="inlineStr"/>
      <c r="D461" s="15" t="inlineStr">
        <is>
          <t>REF-2026.03.01-SD1-r4</t>
        </is>
      </c>
      <c r="E461" s="15" t="inlineStr">
        <is>
          <t>leave_rule_set</t>
        </is>
      </c>
      <c r="F461" s="14" t="inlineStr">
        <is>
          <t>Leave rules — CONTRACT_CLEANING — has long service annual leave</t>
        </is>
      </c>
      <c r="G461" s="15" t="inlineStr">
        <is>
          <t>No</t>
        </is>
      </c>
      <c r="H461" s="15" t="inlineStr">
        <is>
          <t>2026-03-01</t>
        </is>
      </c>
      <c r="I461" s="15" t="inlineStr"/>
      <c r="J461" s="15" t="inlineStr">
        <is>
          <t>leave_rule_set:3:has_long_service_annual_leave</t>
        </is>
      </c>
    </row>
    <row r="462">
      <c r="A462" s="14" t="inlineStr">
        <is>
          <t>Sectoral Determination 1: Contract Cleaning Sector, current consolidated text (clauses 3, 8-24)</t>
        </is>
      </c>
      <c r="B462" s="14" t="inlineStr">
        <is>
          <t>clauses 18, 19 and 22</t>
        </is>
      </c>
      <c r="C462" s="15" t="inlineStr"/>
      <c r="D462" s="15" t="inlineStr">
        <is>
          <t>REF-2026.03.01-SD1-r4</t>
        </is>
      </c>
      <c r="E462" s="15" t="inlineStr">
        <is>
          <t>leave_rule_set</t>
        </is>
      </c>
      <c r="F462" s="14" t="inlineStr">
        <is>
          <t>Leave rules — CONTRACT_CLEANING — maternity earliest start weeks before birth</t>
        </is>
      </c>
      <c r="G462" s="15" t="inlineStr">
        <is>
          <t>4</t>
        </is>
      </c>
      <c r="H462" s="15" t="inlineStr">
        <is>
          <t>2026-03-01</t>
        </is>
      </c>
      <c r="I462" s="15" t="inlineStr"/>
      <c r="J462" s="15" t="inlineStr">
        <is>
          <t>leave_rule_set:3:maternity_earliest_start_weeks_before_birth</t>
        </is>
      </c>
    </row>
    <row r="463">
      <c r="A463" s="14" t="inlineStr">
        <is>
          <t>Sectoral Determination 1: Contract Cleaning Sector, current consolidated text (clauses 3, 8-24)</t>
        </is>
      </c>
      <c r="B463" s="14" t="inlineStr">
        <is>
          <t>clauses 18, 19 and 22</t>
        </is>
      </c>
      <c r="C463" s="15" t="inlineStr"/>
      <c r="D463" s="15" t="inlineStr">
        <is>
          <t>REF-2026.03.01-SD1-r4</t>
        </is>
      </c>
      <c r="E463" s="15" t="inlineStr">
        <is>
          <t>leave_rule_set</t>
        </is>
      </c>
      <c r="F463" s="14" t="inlineStr">
        <is>
          <t>Leave rules — CONTRACT_CLEANING — maternity no work weeks after birth</t>
        </is>
      </c>
      <c r="G463" s="15" t="inlineStr">
        <is>
          <t>6</t>
        </is>
      </c>
      <c r="H463" s="15" t="inlineStr">
        <is>
          <t>2026-03-01</t>
        </is>
      </c>
      <c r="I463" s="15" t="inlineStr"/>
      <c r="J463" s="15" t="inlineStr">
        <is>
          <t>leave_rule_set:3:maternity_no_work_weeks_after_birth</t>
        </is>
      </c>
    </row>
    <row r="464">
      <c r="A464" s="14" t="inlineStr">
        <is>
          <t>Sectoral Determination 1: Contract Cleaning Sector, current consolidated text (clauses 3, 8-24)</t>
        </is>
      </c>
      <c r="B464" s="14" t="inlineStr">
        <is>
          <t>clauses 18, 19 and 22</t>
        </is>
      </c>
      <c r="C464" s="15" t="inlineStr"/>
      <c r="D464" s="15" t="inlineStr">
        <is>
          <t>REF-2026.03.01-SD1-r4</t>
        </is>
      </c>
      <c r="E464" s="15" t="inlineStr">
        <is>
          <t>leave_rule_set</t>
        </is>
      </c>
      <c r="F464" s="14" t="inlineStr">
        <is>
          <t>Leave rules — CONTRACT_CLEANING — parental leave additional days</t>
        </is>
      </c>
      <c r="G464" s="15" t="inlineStr">
        <is>
          <t>10</t>
        </is>
      </c>
      <c r="H464" s="15" t="inlineStr">
        <is>
          <t>2026-03-01</t>
        </is>
      </c>
      <c r="I464" s="15" t="inlineStr"/>
      <c r="J464" s="15" t="inlineStr">
        <is>
          <t>leave_rule_set:3:parental_leave_additional_days</t>
        </is>
      </c>
    </row>
    <row r="465">
      <c r="A465" s="14" t="inlineStr">
        <is>
          <t>Sectoral Determination 1: Contract Cleaning Sector, current consolidated text (clauses 3, 8-24)</t>
        </is>
      </c>
      <c r="B465" s="14" t="inlineStr">
        <is>
          <t>clauses 18, 19 and 22</t>
        </is>
      </c>
      <c r="C465" s="15" t="inlineStr"/>
      <c r="D465" s="15" t="inlineStr">
        <is>
          <t>REF-2026.03.01-SD1-r4</t>
        </is>
      </c>
      <c r="E465" s="15" t="inlineStr">
        <is>
          <t>leave_rule_set</t>
        </is>
      </c>
      <c r="F465" s="14" t="inlineStr">
        <is>
          <t>Leave rules — CONTRACT_CLEANING — parental leave shareable</t>
        </is>
      </c>
      <c r="G465" s="15" t="inlineStr">
        <is>
          <t>Yes</t>
        </is>
      </c>
      <c r="H465" s="15" t="inlineStr">
        <is>
          <t>2026-03-01</t>
        </is>
      </c>
      <c r="I465" s="15" t="inlineStr"/>
      <c r="J465" s="15" t="inlineStr">
        <is>
          <t>leave_rule_set:3:parental_leave_shareable</t>
        </is>
      </c>
    </row>
    <row r="466">
      <c r="A466" s="14" t="inlineStr">
        <is>
          <t>Sectoral Determination 1: Contract Cleaning Sector, current consolidated text (clauses 3, 8-24)</t>
        </is>
      </c>
      <c r="B466" s="14" t="inlineStr">
        <is>
          <t>clauses 18, 19 and 22</t>
        </is>
      </c>
      <c r="C466" s="15" t="inlineStr"/>
      <c r="D466" s="15" t="inlineStr">
        <is>
          <t>REF-2026.03.01-SD1-r4</t>
        </is>
      </c>
      <c r="E466" s="15" t="inlineStr">
        <is>
          <t>leave_rule_set</t>
        </is>
      </c>
      <c r="F466" s="14" t="inlineStr">
        <is>
          <t>Leave rules — CONTRACT_CLEANING — parental leave total months</t>
        </is>
      </c>
      <c r="G466" s="15" t="inlineStr">
        <is>
          <t>4</t>
        </is>
      </c>
      <c r="H466" s="15" t="inlineStr">
        <is>
          <t>2026-03-01</t>
        </is>
      </c>
      <c r="I466" s="15" t="inlineStr"/>
      <c r="J466" s="15" t="inlineStr">
        <is>
          <t>leave_rule_set:3:parental_leave_total_months</t>
        </is>
      </c>
    </row>
    <row r="467">
      <c r="A467" s="14" t="inlineStr">
        <is>
          <t>Sectoral Determination 1: Contract Cleaning Sector, current consolidated text (clauses 3, 8-24)</t>
        </is>
      </c>
      <c r="B467" s="14" t="inlineStr">
        <is>
          <t>clauses 18, 19 and 22</t>
        </is>
      </c>
      <c r="C467" s="15" t="inlineStr"/>
      <c r="D467" s="15" t="inlineStr">
        <is>
          <t>REF-2026.03.01-SD1-r4</t>
        </is>
      </c>
      <c r="E467" s="15" t="inlineStr">
        <is>
          <t>leave_rule_set</t>
        </is>
      </c>
      <c r="F467" s="14" t="inlineStr">
        <is>
          <t>Leave rules — CONTRACT_CLEANING — sick leave cycle months</t>
        </is>
      </c>
      <c r="G467" s="15" t="inlineStr">
        <is>
          <t>36</t>
        </is>
      </c>
      <c r="H467" s="15" t="inlineStr">
        <is>
          <t>2026-03-01</t>
        </is>
      </c>
      <c r="I467" s="15" t="inlineStr"/>
      <c r="J467" s="15" t="inlineStr">
        <is>
          <t>leave_rule_set:3:sick_leave_cycle_months</t>
        </is>
      </c>
    </row>
    <row r="468">
      <c r="A468" s="14" t="inlineStr">
        <is>
          <t>Sectoral Determination 1: Contract Cleaning Sector, current consolidated text (clauses 3, 8-24)</t>
        </is>
      </c>
      <c r="B468" s="14" t="inlineStr">
        <is>
          <t>clauses 18, 19 and 22</t>
        </is>
      </c>
      <c r="C468" s="15" t="inlineStr"/>
      <c r="D468" s="15" t="inlineStr">
        <is>
          <t>REF-2026.03.01-SD1-r4</t>
        </is>
      </c>
      <c r="E468" s="15" t="inlineStr">
        <is>
          <t>leave_rule_set</t>
        </is>
      </c>
      <c r="F468" s="14" t="inlineStr">
        <is>
          <t>Leave rules — CONTRACT_CLEANING — sick leave first six months ratio</t>
        </is>
      </c>
      <c r="G468" s="15" t="inlineStr">
        <is>
          <t>26</t>
        </is>
      </c>
      <c r="H468" s="15" t="inlineStr">
        <is>
          <t>2026-03-01</t>
        </is>
      </c>
      <c r="I468" s="15" t="inlineStr"/>
      <c r="J468" s="15" t="inlineStr">
        <is>
          <t>leave_rule_set:3:sick_leave_first_six_months_ratio</t>
        </is>
      </c>
    </row>
    <row r="469">
      <c r="A469" s="14" t="inlineStr">
        <is>
          <t>Sectoral Determination 1: Contract Cleaning Sector, current consolidated text (clauses 3, 8-24)</t>
        </is>
      </c>
      <c r="B469" s="14" t="inlineStr">
        <is>
          <t>clauses 18, 19 and 22</t>
        </is>
      </c>
      <c r="C469" s="15" t="inlineStr"/>
      <c r="D469" s="15" t="inlineStr">
        <is>
          <t>REF-2026.03.01-SD1-r4</t>
        </is>
      </c>
      <c r="E469" s="15" t="inlineStr">
        <is>
          <t>leave_rule_set</t>
        </is>
      </c>
      <c r="F469" s="14" t="inlineStr">
        <is>
          <t>Leave rules — CONTRACT_CLEANING — sick leave payable on termination</t>
        </is>
      </c>
      <c r="G469" s="15" t="inlineStr">
        <is>
          <t>No</t>
        </is>
      </c>
      <c r="H469" s="15" t="inlineStr">
        <is>
          <t>2026-03-01</t>
        </is>
      </c>
      <c r="I469" s="15" t="inlineStr"/>
      <c r="J469" s="15" t="inlineStr">
        <is>
          <t>leave_rule_set:3:sick_leave_payable_on_termination</t>
        </is>
      </c>
    </row>
    <row r="470">
      <c r="A470" s="14" t="inlineStr">
        <is>
          <t>Sectoral Determination 1: Contract Cleaning Sector, current consolidated text (clauses 3, 8-24)</t>
        </is>
      </c>
      <c r="B470" s="14" t="inlineStr">
        <is>
          <t>clauses 18, 19 and 22</t>
        </is>
      </c>
      <c r="C470" s="15" t="inlineStr"/>
      <c r="D470" s="15" t="inlineStr">
        <is>
          <t>REF-2026.03.01-SD1-r4</t>
        </is>
      </c>
      <c r="E470" s="15" t="inlineStr">
        <is>
          <t>leave_rule_set</t>
        </is>
      </c>
      <c r="F470" s="14" t="inlineStr">
        <is>
          <t>Leave rules — CONTRACT_CLEANING — sick leave weeks equivalent</t>
        </is>
      </c>
      <c r="G470" s="15" t="inlineStr">
        <is>
          <t>6,00</t>
        </is>
      </c>
      <c r="H470" s="15" t="inlineStr">
        <is>
          <t>2026-03-01</t>
        </is>
      </c>
      <c r="I470" s="15" t="inlineStr"/>
      <c r="J470" s="15" t="inlineStr">
        <is>
          <t>leave_rule_set:3:sick_leave_weeks_equivalent</t>
        </is>
      </c>
    </row>
    <row r="471">
      <c r="A471" s="14" t="inlineStr">
        <is>
          <t>Sectoral Determination 1: Contract Cleaning Sector, current consolidated text (clauses 3, 8-24)</t>
        </is>
      </c>
      <c r="B471" s="14" t="inlineStr">
        <is>
          <t>clauses 3(2), 8 to 17</t>
        </is>
      </c>
      <c r="C471" s="15" t="inlineStr"/>
      <c r="D471" s="15" t="inlineStr">
        <is>
          <t>REF-2026.03.01-SD1-r4</t>
        </is>
      </c>
      <c r="E471" s="15" t="inlineStr">
        <is>
          <t>working_time_rule_set</t>
        </is>
      </c>
      <c r="F471" s="14" t="inlineStr">
        <is>
          <t>Working time rules — CONTRACT_CLEANING — accommodation deduction capped</t>
        </is>
      </c>
      <c r="G471" s="15" t="inlineStr">
        <is>
          <t>No</t>
        </is>
      </c>
      <c r="H471" s="15" t="inlineStr">
        <is>
          <t>2026-03-01</t>
        </is>
      </c>
      <c r="I471" s="15" t="inlineStr"/>
      <c r="J471" s="15" t="inlineStr">
        <is>
          <t>working_time_rule_set:3:accommodation_deduction_capped</t>
        </is>
      </c>
    </row>
    <row r="472">
      <c r="A472" s="14" t="inlineStr">
        <is>
          <t>Sectoral Determination 1: Contract Cleaning Sector, current consolidated text (clauses 3, 8-24)</t>
        </is>
      </c>
      <c r="B472" s="14" t="inlineStr">
        <is>
          <t>clauses 3(2), 8 to 17</t>
        </is>
      </c>
      <c r="C472" s="15" t="inlineStr"/>
      <c r="D472" s="15" t="inlineStr">
        <is>
          <t>REF-2026.03.01-SD1-r4</t>
        </is>
      </c>
      <c r="E472" s="15" t="inlineStr">
        <is>
          <t>working_time_rule_set</t>
        </is>
      </c>
      <c r="F472" s="14" t="inlineStr">
        <is>
          <t>Working time rules — CONTRACT_CLEANING — daily rest hours</t>
        </is>
      </c>
      <c r="G472" s="15" t="inlineStr">
        <is>
          <t>12</t>
        </is>
      </c>
      <c r="H472" s="15" t="inlineStr">
        <is>
          <t>2026-03-01</t>
        </is>
      </c>
      <c r="I472" s="15" t="inlineStr"/>
      <c r="J472" s="15" t="inlineStr">
        <is>
          <t>working_time_rule_set:3:daily_rest_hours</t>
        </is>
      </c>
    </row>
    <row r="473">
      <c r="A473" s="14" t="inlineStr">
        <is>
          <t>Sectoral Determination 1: Contract Cleaning Sector, current consolidated text (clauses 3, 8-24)</t>
        </is>
      </c>
      <c r="B473" s="14" t="inlineStr">
        <is>
          <t>clauses 3(2), 8 to 17</t>
        </is>
      </c>
      <c r="C473" s="15" t="inlineStr"/>
      <c r="D473" s="15" t="inlineStr">
        <is>
          <t>REF-2026.03.01-SD1-r4</t>
        </is>
      </c>
      <c r="E473" s="15" t="inlineStr">
        <is>
          <t>working_time_rule_set</t>
        </is>
      </c>
      <c r="F473" s="14" t="inlineStr">
        <is>
          <t>Working time rules — CONTRACT_CLEANING — max overtime hours per day</t>
        </is>
      </c>
      <c r="G473" s="15" t="inlineStr">
        <is>
          <t>3,00</t>
        </is>
      </c>
      <c r="H473" s="15" t="inlineStr">
        <is>
          <t>2026-03-01</t>
        </is>
      </c>
      <c r="I473" s="15" t="inlineStr"/>
      <c r="J473" s="15" t="inlineStr">
        <is>
          <t>working_time_rule_set:3:max_overtime_hours_per_day</t>
        </is>
      </c>
    </row>
    <row r="474">
      <c r="A474" s="14" t="inlineStr">
        <is>
          <t>Sectoral Determination 1: Contract Cleaning Sector, current consolidated text (clauses 3, 8-24)</t>
        </is>
      </c>
      <c r="B474" s="14" t="inlineStr">
        <is>
          <t>clauses 3(2), 8 to 17</t>
        </is>
      </c>
      <c r="C474" s="15" t="inlineStr"/>
      <c r="D474" s="15" t="inlineStr">
        <is>
          <t>REF-2026.03.01-SD1-r4</t>
        </is>
      </c>
      <c r="E474" s="15" t="inlineStr">
        <is>
          <t>working_time_rule_set</t>
        </is>
      </c>
      <c r="F474" s="14" t="inlineStr">
        <is>
          <t>Working time rules — CONTRACT_CLEANING — max overtime hours per week</t>
        </is>
      </c>
      <c r="G474" s="15" t="inlineStr">
        <is>
          <t>10,00</t>
        </is>
      </c>
      <c r="H474" s="15" t="inlineStr">
        <is>
          <t>2026-03-01</t>
        </is>
      </c>
      <c r="I474" s="15" t="inlineStr"/>
      <c r="J474" s="15" t="inlineStr">
        <is>
          <t>working_time_rule_set:3:max_overtime_hours_per_week</t>
        </is>
      </c>
    </row>
    <row r="475">
      <c r="A475" s="14" t="inlineStr">
        <is>
          <t>Sectoral Determination 1: Contract Cleaning Sector, current consolidated text (clauses 3, 8-24)</t>
        </is>
      </c>
      <c r="B475" s="14" t="inlineStr">
        <is>
          <t>clauses 3(2), 8 to 17</t>
        </is>
      </c>
      <c r="C475" s="15" t="inlineStr"/>
      <c r="D475" s="15" t="inlineStr">
        <is>
          <t>REF-2026.03.01-SD1-r4</t>
        </is>
      </c>
      <c r="E475" s="15" t="inlineStr">
        <is>
          <t>working_time_rule_set</t>
        </is>
      </c>
      <c r="F475" s="14" t="inlineStr">
        <is>
          <t>Working time rules — CONTRACT_CLEANING — meal interval after hours</t>
        </is>
      </c>
      <c r="G475" s="15" t="inlineStr">
        <is>
          <t>5,00</t>
        </is>
      </c>
      <c r="H475" s="15" t="inlineStr">
        <is>
          <t>2026-03-01</t>
        </is>
      </c>
      <c r="I475" s="15" t="inlineStr"/>
      <c r="J475" s="15" t="inlineStr">
        <is>
          <t>working_time_rule_set:3:meal_interval_after_hours</t>
        </is>
      </c>
    </row>
    <row r="476">
      <c r="A476" s="14" t="inlineStr">
        <is>
          <t>Sectoral Determination 1: Contract Cleaning Sector, current consolidated text (clauses 3, 8-24)</t>
        </is>
      </c>
      <c r="B476" s="14" t="inlineStr">
        <is>
          <t>clauses 3(2), 8 to 17</t>
        </is>
      </c>
      <c r="C476" s="15" t="inlineStr"/>
      <c r="D476" s="15" t="inlineStr">
        <is>
          <t>REF-2026.03.01-SD1-r4</t>
        </is>
      </c>
      <c r="E476" s="15" t="inlineStr">
        <is>
          <t>working_time_rule_set</t>
        </is>
      </c>
      <c r="F476" s="14" t="inlineStr">
        <is>
          <t>Working time rules — CONTRACT_CLEANING — meal interval minutes</t>
        </is>
      </c>
      <c r="G476" s="15" t="inlineStr">
        <is>
          <t>60</t>
        </is>
      </c>
      <c r="H476" s="15" t="inlineStr">
        <is>
          <t>2026-03-01</t>
        </is>
      </c>
      <c r="I476" s="15" t="inlineStr"/>
      <c r="J476" s="15" t="inlineStr">
        <is>
          <t>working_time_rule_set:3:meal_interval_minutes</t>
        </is>
      </c>
    </row>
    <row r="477">
      <c r="A477" s="14" t="inlineStr">
        <is>
          <t>Sectoral Determination 1: Contract Cleaning Sector, current consolidated text (clauses 3, 8-24)</t>
        </is>
      </c>
      <c r="B477" s="14" t="inlineStr">
        <is>
          <t>clauses 3(2), 8 to 17</t>
        </is>
      </c>
      <c r="C477" s="15" t="inlineStr"/>
      <c r="D477" s="15" t="inlineStr">
        <is>
          <t>REF-2026.03.01-SD1-r4</t>
        </is>
      </c>
      <c r="E477" s="15" t="inlineStr">
        <is>
          <t>working_time_rule_set</t>
        </is>
      </c>
      <c r="F477" s="14" t="inlineStr">
        <is>
          <t>Working time rules — CONTRACT_CLEANING — min paid hours per day</t>
        </is>
      </c>
      <c r="G477" s="15" t="inlineStr">
        <is>
          <t>6,00</t>
        </is>
      </c>
      <c r="H477" s="15" t="inlineStr">
        <is>
          <t>2026-03-01</t>
        </is>
      </c>
      <c r="I477" s="15" t="inlineStr"/>
      <c r="J477" s="15" t="inlineStr">
        <is>
          <t>working_time_rule_set:3:min_paid_hours_per_day</t>
        </is>
      </c>
    </row>
    <row r="478">
      <c r="A478" s="14" t="inlineStr">
        <is>
          <t>Sectoral Determination 1: Contract Cleaning Sector, current consolidated text (clauses 3, 8-24)</t>
        </is>
      </c>
      <c r="B478" s="14" t="inlineStr">
        <is>
          <t>clauses 3(2), 8 to 17</t>
        </is>
      </c>
      <c r="C478" s="15" t="inlineStr"/>
      <c r="D478" s="15" t="inlineStr">
        <is>
          <t>REF-2026.03.01-SD1-r4</t>
        </is>
      </c>
      <c r="E478" s="15" t="inlineStr">
        <is>
          <t>working_time_rule_set</t>
        </is>
      </c>
      <c r="F478" s="14" t="inlineStr">
        <is>
          <t>Working time rules — CONTRACT_CLEANING — night allowance type</t>
        </is>
      </c>
      <c r="G478" s="15" t="inlineStr">
        <is>
          <t>A percentage of the hourly wage</t>
        </is>
      </c>
      <c r="H478" s="15" t="inlineStr">
        <is>
          <t>2026-03-01</t>
        </is>
      </c>
      <c r="I478" s="15" t="inlineStr"/>
      <c r="J478" s="15" t="inlineStr">
        <is>
          <t>working_time_rule_set:3:night_allowance_type</t>
        </is>
      </c>
    </row>
    <row r="479">
      <c r="A479" s="14" t="inlineStr">
        <is>
          <t>Sectoral Determination 1: Contract Cleaning Sector, current consolidated text (clauses 3, 8-24)</t>
        </is>
      </c>
      <c r="B479" s="14" t="inlineStr">
        <is>
          <t>clauses 3(2), 8 to 17</t>
        </is>
      </c>
      <c r="C479" s="15" t="inlineStr"/>
      <c r="D479" s="15" t="inlineStr">
        <is>
          <t>REF-2026.03.01-SD1-r4</t>
        </is>
      </c>
      <c r="E479" s="15" t="inlineStr">
        <is>
          <t>working_time_rule_set</t>
        </is>
      </c>
      <c r="F479" s="14" t="inlineStr">
        <is>
          <t>Working time rules — CONTRACT_CLEANING — night allowance value</t>
        </is>
      </c>
      <c r="G479" s="15" t="inlineStr">
        <is>
          <t>10,0000</t>
        </is>
      </c>
      <c r="H479" s="15" t="inlineStr">
        <is>
          <t>2026-03-01</t>
        </is>
      </c>
      <c r="I479" s="15" t="inlineStr"/>
      <c r="J479" s="15" t="inlineStr">
        <is>
          <t>working_time_rule_set:3:night_allowance_value</t>
        </is>
      </c>
    </row>
    <row r="480">
      <c r="A480" s="14" t="inlineStr">
        <is>
          <t>Sectoral Determination 1: Contract Cleaning Sector, current consolidated text (clauses 3, 8-24)</t>
        </is>
      </c>
      <c r="B480" s="14" t="inlineStr">
        <is>
          <t>clauses 3(2), 8 to 17</t>
        </is>
      </c>
      <c r="C480" s="15" t="inlineStr"/>
      <c r="D480" s="15" t="inlineStr">
        <is>
          <t>REF-2026.03.01-SD1-r4</t>
        </is>
      </c>
      <c r="E480" s="15" t="inlineStr">
        <is>
          <t>working_time_rule_set</t>
        </is>
      </c>
      <c r="F480" s="14" t="inlineStr">
        <is>
          <t>Working time rules — CONTRACT_CLEANING — night work end time</t>
        </is>
      </c>
      <c r="G480" s="15" t="inlineStr">
        <is>
          <t>06:00:00</t>
        </is>
      </c>
      <c r="H480" s="15" t="inlineStr">
        <is>
          <t>2026-03-01</t>
        </is>
      </c>
      <c r="I480" s="15" t="inlineStr"/>
      <c r="J480" s="15" t="inlineStr">
        <is>
          <t>working_time_rule_set:3:night_work_end_time</t>
        </is>
      </c>
    </row>
    <row r="481">
      <c r="A481" s="14" t="inlineStr">
        <is>
          <t>Sectoral Determination 1: Contract Cleaning Sector, current consolidated text (clauses 3, 8-24)</t>
        </is>
      </c>
      <c r="B481" s="14" t="inlineStr">
        <is>
          <t>clauses 3(2), 8 to 17</t>
        </is>
      </c>
      <c r="C481" s="15" t="inlineStr"/>
      <c r="D481" s="15" t="inlineStr">
        <is>
          <t>REF-2026.03.01-SD1-r4</t>
        </is>
      </c>
      <c r="E481" s="15" t="inlineStr">
        <is>
          <t>working_time_rule_set</t>
        </is>
      </c>
      <c r="F481" s="14" t="inlineStr">
        <is>
          <t>Working time rules — CONTRACT_CLEANING — night work start time</t>
        </is>
      </c>
      <c r="G481" s="15" t="inlineStr">
        <is>
          <t>18:00:00</t>
        </is>
      </c>
      <c r="H481" s="15" t="inlineStr">
        <is>
          <t>2026-03-01</t>
        </is>
      </c>
      <c r="I481" s="15" t="inlineStr"/>
      <c r="J481" s="15" t="inlineStr">
        <is>
          <t>working_time_rule_set:3:night_work_start_time</t>
        </is>
      </c>
    </row>
    <row r="482">
      <c r="A482" s="14" t="inlineStr">
        <is>
          <t>Sectoral Determination 1: Contract Cleaning Sector, current consolidated text (clauses 3, 8-24)</t>
        </is>
      </c>
      <c r="B482" s="14" t="inlineStr">
        <is>
          <t>clauses 3(2), 8 to 17</t>
        </is>
      </c>
      <c r="C482" s="15" t="inlineStr"/>
      <c r="D482" s="15" t="inlineStr">
        <is>
          <t>REF-2026.03.01-SD1-r4</t>
        </is>
      </c>
      <c r="E482" s="15" t="inlineStr">
        <is>
          <t>working_time_rule_set</t>
        </is>
      </c>
      <c r="F482" s="14" t="inlineStr">
        <is>
          <t>Working time rules — CONTRACT_CLEANING — ordinary hours per day 5day</t>
        </is>
      </c>
      <c r="G482" s="15" t="inlineStr">
        <is>
          <t>9,00</t>
        </is>
      </c>
      <c r="H482" s="15" t="inlineStr">
        <is>
          <t>2026-03-01</t>
        </is>
      </c>
      <c r="I482" s="15" t="inlineStr"/>
      <c r="J482" s="15" t="inlineStr">
        <is>
          <t>working_time_rule_set:3:ordinary_hours_per_day_5day</t>
        </is>
      </c>
    </row>
    <row r="483">
      <c r="A483" s="14" t="inlineStr">
        <is>
          <t>Sectoral Determination 1: Contract Cleaning Sector, current consolidated text (clauses 3, 8-24)</t>
        </is>
      </c>
      <c r="B483" s="14" t="inlineStr">
        <is>
          <t>clauses 3(2), 8 to 17</t>
        </is>
      </c>
      <c r="C483" s="15" t="inlineStr"/>
      <c r="D483" s="15" t="inlineStr">
        <is>
          <t>REF-2026.03.01-SD1-r4</t>
        </is>
      </c>
      <c r="E483" s="15" t="inlineStr">
        <is>
          <t>working_time_rule_set</t>
        </is>
      </c>
      <c r="F483" s="14" t="inlineStr">
        <is>
          <t>Working time rules — CONTRACT_CLEANING — ordinary hours per day 6day</t>
        </is>
      </c>
      <c r="G483" s="15" t="inlineStr">
        <is>
          <t>8,00</t>
        </is>
      </c>
      <c r="H483" s="15" t="inlineStr">
        <is>
          <t>2026-03-01</t>
        </is>
      </c>
      <c r="I483" s="15" t="inlineStr"/>
      <c r="J483" s="15" t="inlineStr">
        <is>
          <t>working_time_rule_set:3:ordinary_hours_per_day_6day</t>
        </is>
      </c>
    </row>
    <row r="484">
      <c r="A484" s="14" t="inlineStr">
        <is>
          <t>Sectoral Determination 1: Contract Cleaning Sector, current consolidated text (clauses 3, 8-24)</t>
        </is>
      </c>
      <c r="B484" s="14" t="inlineStr">
        <is>
          <t>clauses 3(2), 8 to 17</t>
        </is>
      </c>
      <c r="C484" s="15" t="inlineStr"/>
      <c r="D484" s="15" t="inlineStr">
        <is>
          <t>REF-2026.03.01-SD1-r4</t>
        </is>
      </c>
      <c r="E484" s="15" t="inlineStr">
        <is>
          <t>working_time_rule_set</t>
        </is>
      </c>
      <c r="F484" s="14" t="inlineStr">
        <is>
          <t>Working time rules — CONTRACT_CLEANING — ordinary hours per week</t>
        </is>
      </c>
      <c r="G484" s="15" t="inlineStr">
        <is>
          <t>45,00</t>
        </is>
      </c>
      <c r="H484" s="15" t="inlineStr">
        <is>
          <t>2026-03-01</t>
        </is>
      </c>
      <c r="I484" s="15" t="inlineStr"/>
      <c r="J484" s="15" t="inlineStr">
        <is>
          <t>working_time_rule_set:3:ordinary_hours_per_week</t>
        </is>
      </c>
    </row>
    <row r="485">
      <c r="A485" s="14" t="inlineStr">
        <is>
          <t>Sectoral Determination 1: Contract Cleaning Sector, current consolidated text (clauses 3, 8-24)</t>
        </is>
      </c>
      <c r="B485" s="14" t="inlineStr">
        <is>
          <t>clauses 3(2), 8 to 17</t>
        </is>
      </c>
      <c r="C485" s="15" t="inlineStr"/>
      <c r="D485" s="15" t="inlineStr">
        <is>
          <t>REF-2026.03.01-SD1-r4</t>
        </is>
      </c>
      <c r="E485" s="15" t="inlineStr">
        <is>
          <t>working_time_rule_set</t>
        </is>
      </c>
      <c r="F485" s="14" t="inlineStr">
        <is>
          <t>Working time rules — CONTRACT_CLEANING — overtime multiplier</t>
        </is>
      </c>
      <c r="G485" s="15" t="inlineStr">
        <is>
          <t>1,500</t>
        </is>
      </c>
      <c r="H485" s="15" t="inlineStr">
        <is>
          <t>2026-03-01</t>
        </is>
      </c>
      <c r="I485" s="15" t="inlineStr"/>
      <c r="J485" s="15" t="inlineStr">
        <is>
          <t>working_time_rule_set:3:overtime_multiplier</t>
        </is>
      </c>
    </row>
    <row r="486">
      <c r="A486" s="14" t="inlineStr">
        <is>
          <t>Sectoral Determination 1: Contract Cleaning Sector, current consolidated text (clauses 3, 8-24)</t>
        </is>
      </c>
      <c r="B486" s="14" t="inlineStr">
        <is>
          <t>clauses 3(2), 8 to 17</t>
        </is>
      </c>
      <c r="C486" s="15" t="inlineStr"/>
      <c r="D486" s="15" t="inlineStr">
        <is>
          <t>REF-2026.03.01-SD1-r4</t>
        </is>
      </c>
      <c r="E486" s="15" t="inlineStr">
        <is>
          <t>working_time_rule_set</t>
        </is>
      </c>
      <c r="F486" s="14" t="inlineStr">
        <is>
          <t>Working time rules — CONTRACT_CLEANING — public holiday not worked paid</t>
        </is>
      </c>
      <c r="G486" s="15" t="inlineStr">
        <is>
          <t>Yes</t>
        </is>
      </c>
      <c r="H486" s="15" t="inlineStr">
        <is>
          <t>2026-03-01</t>
        </is>
      </c>
      <c r="I486" s="15" t="inlineStr"/>
      <c r="J486" s="15" t="inlineStr">
        <is>
          <t>working_time_rule_set:3:public_holiday_not_worked_paid</t>
        </is>
      </c>
    </row>
    <row r="487">
      <c r="A487" s="14" t="inlineStr">
        <is>
          <t>Sectoral Determination 1: Contract Cleaning Sector, current consolidated text (clauses 3, 8-24)</t>
        </is>
      </c>
      <c r="B487" s="14" t="inlineStr">
        <is>
          <t>clauses 3(2), 8 to 17</t>
        </is>
      </c>
      <c r="C487" s="15" t="inlineStr"/>
      <c r="D487" s="15" t="inlineStr">
        <is>
          <t>REF-2026.03.01-SD1-r4</t>
        </is>
      </c>
      <c r="E487" s="15" t="inlineStr">
        <is>
          <t>working_time_rule_set</t>
        </is>
      </c>
      <c r="F487" s="14" t="inlineStr">
        <is>
          <t>Working time rules — CONTRACT_CLEANING — public holiday worked multiplier</t>
        </is>
      </c>
      <c r="G487" s="15" t="inlineStr">
        <is>
          <t>2,000</t>
        </is>
      </c>
      <c r="H487" s="15" t="inlineStr">
        <is>
          <t>2026-03-01</t>
        </is>
      </c>
      <c r="I487" s="15" t="inlineStr"/>
      <c r="J487" s="15" t="inlineStr">
        <is>
          <t>working_time_rule_set:3:public_holiday_worked_multiplier</t>
        </is>
      </c>
    </row>
    <row r="488">
      <c r="A488" s="14" t="inlineStr">
        <is>
          <t>Sectoral Determination 1: Contract Cleaning Sector, current consolidated text (clauses 3, 8-24)</t>
        </is>
      </c>
      <c r="B488" s="14" t="inlineStr">
        <is>
          <t>clauses 3(2), 8 to 17</t>
        </is>
      </c>
      <c r="C488" s="15" t="inlineStr"/>
      <c r="D488" s="15" t="inlineStr">
        <is>
          <t>REF-2026.03.01-SD1-r4</t>
        </is>
      </c>
      <c r="E488" s="15" t="inlineStr">
        <is>
          <t>working_time_rule_set</t>
        </is>
      </c>
      <c r="F488" s="14" t="inlineStr">
        <is>
          <t>Working time rules — CONTRACT_CLEANING — standby allowance per shift</t>
        </is>
      </c>
      <c r="G488" s="15" t="inlineStr">
        <is>
          <t>R 0,00</t>
        </is>
      </c>
      <c r="H488" s="15" t="inlineStr">
        <is>
          <t>2026-03-01</t>
        </is>
      </c>
      <c r="I488" s="15" t="inlineStr"/>
      <c r="J488" s="15" t="inlineStr">
        <is>
          <t>working_time_rule_set:3:standby_allowance_per_shift</t>
        </is>
      </c>
    </row>
    <row r="489">
      <c r="A489" s="14" t="inlineStr">
        <is>
          <t>Sectoral Determination 1: Contract Cleaning Sector, current consolidated text (clauses 3, 8-24)</t>
        </is>
      </c>
      <c r="B489" s="14" t="inlineStr">
        <is>
          <t>clauses 3(2), 8 to 17</t>
        </is>
      </c>
      <c r="C489" s="15" t="inlineStr"/>
      <c r="D489" s="15" t="inlineStr">
        <is>
          <t>REF-2026.03.01-SD1-r4</t>
        </is>
      </c>
      <c r="E489" s="15" t="inlineStr">
        <is>
          <t>working_time_rule_set</t>
        </is>
      </c>
      <c r="F489" s="14" t="inlineStr">
        <is>
          <t>Working time rules — CONTRACT_CLEANING — standby hours before overtime</t>
        </is>
      </c>
      <c r="G489" s="15" t="inlineStr">
        <is>
          <t>0,00</t>
        </is>
      </c>
      <c r="H489" s="15" t="inlineStr">
        <is>
          <t>2026-03-01</t>
        </is>
      </c>
      <c r="I489" s="15" t="inlineStr"/>
      <c r="J489" s="15" t="inlineStr">
        <is>
          <t>working_time_rule_set:3:standby_hours_before_overtime</t>
        </is>
      </c>
    </row>
    <row r="490">
      <c r="A490" s="14" t="inlineStr">
        <is>
          <t>Sectoral Determination 1: Contract Cleaning Sector, current consolidated text (clauses 3, 8-24)</t>
        </is>
      </c>
      <c r="B490" s="14" t="inlineStr">
        <is>
          <t>clauses 3(2), 8 to 17</t>
        </is>
      </c>
      <c r="C490" s="15" t="inlineStr"/>
      <c r="D490" s="15" t="inlineStr">
        <is>
          <t>REF-2026.03.01-SD1-r4</t>
        </is>
      </c>
      <c r="E490" s="15" t="inlineStr">
        <is>
          <t>working_time_rule_set</t>
        </is>
      </c>
      <c r="F490" s="14" t="inlineStr">
        <is>
          <t>Working time rules — CONTRACT_CLEANING — standby window end</t>
        </is>
      </c>
      <c r="G490" s="15" t="inlineStr">
        <is>
          <t>00:00:00</t>
        </is>
      </c>
      <c r="H490" s="15" t="inlineStr">
        <is>
          <t>2026-03-01</t>
        </is>
      </c>
      <c r="I490" s="15" t="inlineStr"/>
      <c r="J490" s="15" t="inlineStr">
        <is>
          <t>working_time_rule_set:3:standby_window_end</t>
        </is>
      </c>
    </row>
    <row r="491">
      <c r="A491" s="14" t="inlineStr">
        <is>
          <t>Sectoral Determination 1: Contract Cleaning Sector, current consolidated text (clauses 3, 8-24)</t>
        </is>
      </c>
      <c r="B491" s="14" t="inlineStr">
        <is>
          <t>clauses 3(2), 8 to 17</t>
        </is>
      </c>
      <c r="C491" s="15" t="inlineStr"/>
      <c r="D491" s="15" t="inlineStr">
        <is>
          <t>REF-2026.03.01-SD1-r4</t>
        </is>
      </c>
      <c r="E491" s="15" t="inlineStr">
        <is>
          <t>working_time_rule_set</t>
        </is>
      </c>
      <c r="F491" s="14" t="inlineStr">
        <is>
          <t>Working time rules — CONTRACT_CLEANING — standby window start</t>
        </is>
      </c>
      <c r="G491" s="15" t="inlineStr">
        <is>
          <t>00:00:00</t>
        </is>
      </c>
      <c r="H491" s="15" t="inlineStr">
        <is>
          <t>2026-03-01</t>
        </is>
      </c>
      <c r="I491" s="15" t="inlineStr"/>
      <c r="J491" s="15" t="inlineStr">
        <is>
          <t>working_time_rule_set:3:standby_window_start</t>
        </is>
      </c>
    </row>
    <row r="492">
      <c r="A492" s="14" t="inlineStr">
        <is>
          <t>Sectoral Determination 1: Contract Cleaning Sector, current consolidated text (clauses 3, 8-24)</t>
        </is>
      </c>
      <c r="B492" s="14" t="inlineStr">
        <is>
          <t>clauses 3(2), 8 to 17</t>
        </is>
      </c>
      <c r="C492" s="15" t="inlineStr"/>
      <c r="D492" s="15" t="inlineStr">
        <is>
          <t>REF-2026.03.01-SD1-r4</t>
        </is>
      </c>
      <c r="E492" s="15" t="inlineStr">
        <is>
          <t>working_time_rule_set</t>
        </is>
      </c>
      <c r="F492" s="14" t="inlineStr">
        <is>
          <t>Working time rules — CONTRACT_CLEANING — sunday multiplier non ordinary</t>
        </is>
      </c>
      <c r="G492" s="15" t="inlineStr">
        <is>
          <t>2,000</t>
        </is>
      </c>
      <c r="H492" s="15" t="inlineStr">
        <is>
          <t>2026-03-01</t>
        </is>
      </c>
      <c r="I492" s="15" t="inlineStr"/>
      <c r="J492" s="15" t="inlineStr">
        <is>
          <t>working_time_rule_set:3:sunday_multiplier_non_ordinary</t>
        </is>
      </c>
    </row>
    <row r="493">
      <c r="A493" s="14" t="inlineStr">
        <is>
          <t>Sectoral Determination 1: Contract Cleaning Sector, current consolidated text (clauses 3, 8-24)</t>
        </is>
      </c>
      <c r="B493" s="14" t="inlineStr">
        <is>
          <t>clauses 3(2), 8 to 17</t>
        </is>
      </c>
      <c r="C493" s="15" t="inlineStr"/>
      <c r="D493" s="15" t="inlineStr">
        <is>
          <t>REF-2026.03.01-SD1-r4</t>
        </is>
      </c>
      <c r="E493" s="15" t="inlineStr">
        <is>
          <t>working_time_rule_set</t>
        </is>
      </c>
      <c r="F493" s="14" t="inlineStr">
        <is>
          <t>Working time rules — CONTRACT_CLEANING — sunday multiplier ordinary</t>
        </is>
      </c>
      <c r="G493" s="15" t="inlineStr">
        <is>
          <t>1,500</t>
        </is>
      </c>
      <c r="H493" s="15" t="inlineStr">
        <is>
          <t>2026-03-01</t>
        </is>
      </c>
      <c r="I493" s="15" t="inlineStr"/>
      <c r="J493" s="15" t="inlineStr">
        <is>
          <t>working_time_rule_set:3:sunday_multiplier_ordinary</t>
        </is>
      </c>
    </row>
    <row r="494">
      <c r="A494" s="14" t="inlineStr">
        <is>
          <t>Sectoral Determination 1: Contract Cleaning Sector, current consolidated text (clauses 3, 8-24)</t>
        </is>
      </c>
      <c r="B494" s="14" t="inlineStr">
        <is>
          <t>clauses 3(2), 8 to 17</t>
        </is>
      </c>
      <c r="C494" s="15" t="inlineStr"/>
      <c r="D494" s="15" t="inlineStr">
        <is>
          <t>REF-2026.03.01-SD1-r4</t>
        </is>
      </c>
      <c r="E494" s="15" t="inlineStr">
        <is>
          <t>working_time_rule_set</t>
        </is>
      </c>
      <c r="F494" s="14" t="inlineStr">
        <is>
          <t>Working time rules — CONTRACT_CLEANING — weekly rest hours</t>
        </is>
      </c>
      <c r="G494" s="15" t="inlineStr">
        <is>
          <t>36</t>
        </is>
      </c>
      <c r="H494" s="15" t="inlineStr">
        <is>
          <t>2026-03-01</t>
        </is>
      </c>
      <c r="I494" s="15" t="inlineStr"/>
      <c r="J494" s="15" t="inlineStr">
        <is>
          <t>working_time_rule_set:3:weekly_rest_hours</t>
        </is>
      </c>
    </row>
    <row r="495">
      <c r="A495" s="14" t="inlineStr">
        <is>
          <t>Sectoral Determination 1: Contract Cleaning Sector, current consolidated text (clauses 3, 8-24)</t>
        </is>
      </c>
      <c r="B495" s="14" t="inlineStr">
        <is>
          <t>clauses 3(3) and 24</t>
        </is>
      </c>
      <c r="C495" s="15" t="inlineStr"/>
      <c r="D495" s="15" t="inlineStr">
        <is>
          <t>REF-2026.03.01-SD1-r4</t>
        </is>
      </c>
      <c r="E495" s="15" t="inlineStr">
        <is>
          <t>termination_rule_set</t>
        </is>
      </c>
      <c r="F495" s="14" t="inlineStr">
        <is>
          <t>Termination rules — CONTRACT_CLEANING — annual bonus min service months</t>
        </is>
      </c>
      <c r="G495" s="15" t="inlineStr">
        <is>
          <t>0</t>
        </is>
      </c>
      <c r="H495" s="15" t="inlineStr">
        <is>
          <t>2026-03-01</t>
        </is>
      </c>
      <c r="I495" s="15" t="inlineStr"/>
      <c r="J495" s="15" t="inlineStr">
        <is>
          <t>termination_rule_set:3:annual_bonus_min_service_months</t>
        </is>
      </c>
    </row>
    <row r="496">
      <c r="A496" s="14" t="inlineStr">
        <is>
          <t>Sectoral Determination 1: Contract Cleaning Sector, current consolidated text (clauses 3, 8-24)</t>
        </is>
      </c>
      <c r="B496" s="14" t="inlineStr">
        <is>
          <t>clauses 3(3) and 24</t>
        </is>
      </c>
      <c r="C496" s="15" t="inlineStr"/>
      <c r="D496" s="15" t="inlineStr">
        <is>
          <t>REF-2026.03.01-SD1-r4</t>
        </is>
      </c>
      <c r="E496" s="15" t="inlineStr">
        <is>
          <t>termination_rule_set</t>
        </is>
      </c>
      <c r="F496" s="14" t="inlineStr">
        <is>
          <t>Termination rules — CONTRACT_CLEANING — annual bonus month</t>
        </is>
      </c>
      <c r="G496" s="15" t="inlineStr">
        <is>
          <t>12</t>
        </is>
      </c>
      <c r="H496" s="15" t="inlineStr">
        <is>
          <t>2026-03-01</t>
        </is>
      </c>
      <c r="I496" s="15" t="inlineStr"/>
      <c r="J496" s="15" t="inlineStr">
        <is>
          <t>termination_rule_set:3:annual_bonus_month</t>
        </is>
      </c>
    </row>
    <row r="497">
      <c r="A497" s="14" t="inlineStr">
        <is>
          <t>Sectoral Determination 1: Contract Cleaning Sector, current consolidated text (clauses 3, 8-24)</t>
        </is>
      </c>
      <c r="B497" s="14" t="inlineStr">
        <is>
          <t>clauses 3(3) and 24</t>
        </is>
      </c>
      <c r="C497" s="15" t="inlineStr"/>
      <c r="D497" s="15" t="inlineStr">
        <is>
          <t>REF-2026.03.01-SD1-r4</t>
        </is>
      </c>
      <c r="E497" s="15" t="inlineStr">
        <is>
          <t>termination_rule_set</t>
        </is>
      </c>
      <c r="F497" s="14" t="inlineStr">
        <is>
          <t>Termination rules — CONTRACT_CLEANING — annual bonus pro rata on termination</t>
        </is>
      </c>
      <c r="G497" s="15" t="inlineStr">
        <is>
          <t>Yes</t>
        </is>
      </c>
      <c r="H497" s="15" t="inlineStr">
        <is>
          <t>2026-03-01</t>
        </is>
      </c>
      <c r="I497" s="15" t="inlineStr"/>
      <c r="J497" s="15" t="inlineStr">
        <is>
          <t>termination_rule_set:3:annual_bonus_pro_rata_on_termination</t>
        </is>
      </c>
    </row>
    <row r="498">
      <c r="A498" s="14" t="inlineStr">
        <is>
          <t>Sectoral Determination 1: Contract Cleaning Sector, current consolidated text (clauses 3, 8-24)</t>
        </is>
      </c>
      <c r="B498" s="14" t="inlineStr">
        <is>
          <t>clauses 3(3) and 24</t>
        </is>
      </c>
      <c r="C498" s="15" t="inlineStr"/>
      <c r="D498" s="15" t="inlineStr">
        <is>
          <t>REF-2026.03.01-SD1-r4</t>
        </is>
      </c>
      <c r="E498" s="15" t="inlineStr">
        <is>
          <t>termination_rule_set</t>
        </is>
      </c>
      <c r="F498" s="14" t="inlineStr">
        <is>
          <t>Termination rules — CONTRACT_CLEANING — annual bonus weeks</t>
        </is>
      </c>
      <c r="G498" s="15" t="inlineStr">
        <is>
          <t>4,333</t>
        </is>
      </c>
      <c r="H498" s="15" t="inlineStr">
        <is>
          <t>2026-03-01</t>
        </is>
      </c>
      <c r="I498" s="15" t="inlineStr"/>
      <c r="J498" s="15" t="inlineStr">
        <is>
          <t>termination_rule_set:3:annual_bonus_weeks</t>
        </is>
      </c>
    </row>
    <row r="499">
      <c r="A499" s="14" t="inlineStr">
        <is>
          <t>Sectoral Determination 1: Contract Cleaning Sector, current consolidated text (clauses 3, 8-24)</t>
        </is>
      </c>
      <c r="B499" s="14" t="inlineStr">
        <is>
          <t>clauses 3(3) and 24</t>
        </is>
      </c>
      <c r="C499" s="15" t="inlineStr"/>
      <c r="D499" s="15" t="inlineStr">
        <is>
          <t>REF-2026.03.01-SD1-r4</t>
        </is>
      </c>
      <c r="E499" s="15" t="inlineStr">
        <is>
          <t>termination_rule_set</t>
        </is>
      </c>
      <c r="F499" s="14" t="inlineStr">
        <is>
          <t>Termination rules — CONTRACT_CLEANING — severance requires operational reason</t>
        </is>
      </c>
      <c r="G499" s="15" t="inlineStr">
        <is>
          <t>Yes</t>
        </is>
      </c>
      <c r="H499" s="15" t="inlineStr">
        <is>
          <t>2026-03-01</t>
        </is>
      </c>
      <c r="I499" s="15" t="inlineStr"/>
      <c r="J499" s="15" t="inlineStr">
        <is>
          <t>termination_rule_set:3:severance_requires_operational_reason</t>
        </is>
      </c>
    </row>
    <row r="500">
      <c r="A500" s="14" t="inlineStr">
        <is>
          <t>Sectoral Determination 1: Contract Cleaning Sector, current consolidated text (clauses 3, 8-24)</t>
        </is>
      </c>
      <c r="B500" s="14" t="inlineStr">
        <is>
          <t>clauses 3(3) and 24</t>
        </is>
      </c>
      <c r="C500" s="15" t="inlineStr"/>
      <c r="D500" s="15" t="inlineStr">
        <is>
          <t>REF-2026.03.01-SD1-r4</t>
        </is>
      </c>
      <c r="E500" s="15" t="inlineStr">
        <is>
          <t>termination_rule_set</t>
        </is>
      </c>
      <c r="F500" s="14" t="inlineStr">
        <is>
          <t>Termination rules — CONTRACT_CLEANING — severance weeks per completed year</t>
        </is>
      </c>
      <c r="G500" s="15" t="inlineStr">
        <is>
          <t>1,00</t>
        </is>
      </c>
      <c r="H500" s="15" t="inlineStr">
        <is>
          <t>2026-03-01</t>
        </is>
      </c>
      <c r="I500" s="15" t="inlineStr"/>
      <c r="J500" s="15" t="inlineStr">
        <is>
          <t>termination_rule_set:3:severance_weeks_per_completed_year</t>
        </is>
      </c>
    </row>
    <row r="501">
      <c r="A501" s="10" t="inlineStr">
        <is>
          <t>Sectoral Determination 7: Domestic Worker Sector, published in Regulation Gazette No. 7434 (consolidated text)</t>
        </is>
      </c>
      <c r="B501" s="10" t="inlineStr"/>
      <c r="C501" s="11" t="inlineStr"/>
      <c r="D501" s="11" t="inlineStr">
        <is>
          <t>REF-2026.03.01-RULES-r4</t>
        </is>
      </c>
      <c r="E501" s="11" t="inlineStr">
        <is>
          <t>working_time_rule_set</t>
        </is>
      </c>
      <c r="F501" s="10" t="inlineStr">
        <is>
          <t>Working time rules — DOMESTIC — accommodation deduction capped</t>
        </is>
      </c>
      <c r="G501" s="11" t="inlineStr">
        <is>
          <t>Yes</t>
        </is>
      </c>
      <c r="H501" s="11" t="inlineStr">
        <is>
          <t>2026-03-01</t>
        </is>
      </c>
      <c r="I501" s="11" t="inlineStr"/>
      <c r="J501" s="11" t="inlineStr">
        <is>
          <t>working_time_rule_set:2:accommodation_deduction_capped</t>
        </is>
      </c>
      <c r="K501" s="13" t="n"/>
      <c r="L501" s="13" t="n"/>
      <c r="M501" s="13" t="n"/>
      <c r="N501" s="13" t="n"/>
    </row>
    <row r="502">
      <c r="A502" s="14" t="inlineStr">
        <is>
          <t>Sectoral Determination 7: Domestic Worker Sector, published in Regulation Gazette No. 7434 (consolidated text)</t>
        </is>
      </c>
      <c r="B502" s="14" t="inlineStr"/>
      <c r="C502" s="15" t="inlineStr"/>
      <c r="D502" s="15" t="inlineStr">
        <is>
          <t>REF-2026.03.01-RULES-r4</t>
        </is>
      </c>
      <c r="E502" s="15" t="inlineStr">
        <is>
          <t>working_time_rule_set</t>
        </is>
      </c>
      <c r="F502" s="14" t="inlineStr">
        <is>
          <t>Working time rules — DOMESTIC — accommodation deduction max pct</t>
        </is>
      </c>
      <c r="G502" s="15" t="inlineStr">
        <is>
          <t>10,00 %</t>
        </is>
      </c>
      <c r="H502" s="15" t="inlineStr">
        <is>
          <t>2026-03-01</t>
        </is>
      </c>
      <c r="I502" s="15" t="inlineStr"/>
      <c r="J502" s="15" t="inlineStr">
        <is>
          <t>working_time_rule_set:2:accommodation_deduction_max_pct</t>
        </is>
      </c>
    </row>
    <row r="503">
      <c r="A503" s="14" t="inlineStr">
        <is>
          <t>Sectoral Determination 7: Domestic Worker Sector, published in Regulation Gazette No. 7434 (consolidated text)</t>
        </is>
      </c>
      <c r="B503" s="14" t="inlineStr"/>
      <c r="C503" s="15" t="inlineStr"/>
      <c r="D503" s="15" t="inlineStr">
        <is>
          <t>REF-2026.03.01-RULES-r4</t>
        </is>
      </c>
      <c r="E503" s="15" t="inlineStr">
        <is>
          <t>working_time_rule_set</t>
        </is>
      </c>
      <c r="F503" s="14" t="inlineStr">
        <is>
          <t>Working time rules — DOMESTIC — daily rest hours</t>
        </is>
      </c>
      <c r="G503" s="15" t="inlineStr">
        <is>
          <t>12</t>
        </is>
      </c>
      <c r="H503" s="15" t="inlineStr">
        <is>
          <t>2026-03-01</t>
        </is>
      </c>
      <c r="I503" s="15" t="inlineStr"/>
      <c r="J503" s="15" t="inlineStr">
        <is>
          <t>working_time_rule_set:2:daily_rest_hours</t>
        </is>
      </c>
    </row>
    <row r="504">
      <c r="A504" s="14" t="inlineStr">
        <is>
          <t>Sectoral Determination 7: Domestic Worker Sector, published in Regulation Gazette No. 7434 (consolidated text)</t>
        </is>
      </c>
      <c r="B504" s="14" t="inlineStr"/>
      <c r="C504" s="15" t="inlineStr"/>
      <c r="D504" s="15" t="inlineStr">
        <is>
          <t>REF-2026.03.01-RULES-r4</t>
        </is>
      </c>
      <c r="E504" s="15" t="inlineStr">
        <is>
          <t>working_time_rule_set</t>
        </is>
      </c>
      <c r="F504" s="14" t="inlineStr">
        <is>
          <t>Working time rules — DOMESTIC — max overtime hours per day</t>
        </is>
      </c>
      <c r="G504" s="15" t="inlineStr">
        <is>
          <t>3,00</t>
        </is>
      </c>
      <c r="H504" s="15" t="inlineStr">
        <is>
          <t>2026-03-01</t>
        </is>
      </c>
      <c r="I504" s="15" t="inlineStr"/>
      <c r="J504" s="15" t="inlineStr">
        <is>
          <t>working_time_rule_set:2:max_overtime_hours_per_day</t>
        </is>
      </c>
    </row>
    <row r="505">
      <c r="A505" s="14" t="inlineStr">
        <is>
          <t>Sectoral Determination 7: Domestic Worker Sector, published in Regulation Gazette No. 7434 (consolidated text)</t>
        </is>
      </c>
      <c r="B505" s="14" t="inlineStr"/>
      <c r="C505" s="15" t="inlineStr"/>
      <c r="D505" s="15" t="inlineStr">
        <is>
          <t>REF-2026.03.01-RULES-r4</t>
        </is>
      </c>
      <c r="E505" s="15" t="inlineStr">
        <is>
          <t>working_time_rule_set</t>
        </is>
      </c>
      <c r="F505" s="14" t="inlineStr">
        <is>
          <t>Working time rules — DOMESTIC — max overtime hours per week</t>
        </is>
      </c>
      <c r="G505" s="15" t="inlineStr">
        <is>
          <t>15,00</t>
        </is>
      </c>
      <c r="H505" s="15" t="inlineStr">
        <is>
          <t>2026-03-01</t>
        </is>
      </c>
      <c r="I505" s="15" t="inlineStr"/>
      <c r="J505" s="15" t="inlineStr">
        <is>
          <t>working_time_rule_set:2:max_overtime_hours_per_week</t>
        </is>
      </c>
    </row>
    <row r="506">
      <c r="A506" s="14" t="inlineStr">
        <is>
          <t>Sectoral Determination 7: Domestic Worker Sector, published in Regulation Gazette No. 7434 (consolidated text)</t>
        </is>
      </c>
      <c r="B506" s="14" t="inlineStr"/>
      <c r="C506" s="15" t="inlineStr"/>
      <c r="D506" s="15" t="inlineStr">
        <is>
          <t>REF-2026.03.01-RULES-r4</t>
        </is>
      </c>
      <c r="E506" s="15" t="inlineStr">
        <is>
          <t>working_time_rule_set</t>
        </is>
      </c>
      <c r="F506" s="14" t="inlineStr">
        <is>
          <t>Working time rules — DOMESTIC — meal interval after hours</t>
        </is>
      </c>
      <c r="G506" s="15" t="inlineStr">
        <is>
          <t>5,00</t>
        </is>
      </c>
      <c r="H506" s="15" t="inlineStr">
        <is>
          <t>2026-03-01</t>
        </is>
      </c>
      <c r="I506" s="15" t="inlineStr"/>
      <c r="J506" s="15" t="inlineStr">
        <is>
          <t>working_time_rule_set:2:meal_interval_after_hours</t>
        </is>
      </c>
    </row>
    <row r="507">
      <c r="A507" s="14" t="inlineStr">
        <is>
          <t>Sectoral Determination 7: Domestic Worker Sector, published in Regulation Gazette No. 7434 (consolidated text)</t>
        </is>
      </c>
      <c r="B507" s="14" t="inlineStr"/>
      <c r="C507" s="15" t="inlineStr"/>
      <c r="D507" s="15" t="inlineStr">
        <is>
          <t>REF-2026.03.01-RULES-r4</t>
        </is>
      </c>
      <c r="E507" s="15" t="inlineStr">
        <is>
          <t>working_time_rule_set</t>
        </is>
      </c>
      <c r="F507" s="14" t="inlineStr">
        <is>
          <t>Working time rules — DOMESTIC — meal interval minutes</t>
        </is>
      </c>
      <c r="G507" s="15" t="inlineStr">
        <is>
          <t>60</t>
        </is>
      </c>
      <c r="H507" s="15" t="inlineStr">
        <is>
          <t>2026-03-01</t>
        </is>
      </c>
      <c r="I507" s="15" t="inlineStr"/>
      <c r="J507" s="15" t="inlineStr">
        <is>
          <t>working_time_rule_set:2:meal_interval_minutes</t>
        </is>
      </c>
    </row>
    <row r="508">
      <c r="A508" s="14" t="inlineStr">
        <is>
          <t>Sectoral Determination 7: Domestic Worker Sector, published in Regulation Gazette No. 7434 (consolidated text)</t>
        </is>
      </c>
      <c r="B508" s="14" t="inlineStr"/>
      <c r="C508" s="15" t="inlineStr"/>
      <c r="D508" s="15" t="inlineStr">
        <is>
          <t>REF-2026.03.01-RULES-r4</t>
        </is>
      </c>
      <c r="E508" s="15" t="inlineStr">
        <is>
          <t>working_time_rule_set</t>
        </is>
      </c>
      <c r="F508" s="14" t="inlineStr">
        <is>
          <t>Working time rules — DOMESTIC — min paid hours per day</t>
        </is>
      </c>
      <c r="G508" s="15" t="inlineStr">
        <is>
          <t>4,00</t>
        </is>
      </c>
      <c r="H508" s="15" t="inlineStr">
        <is>
          <t>2026-03-01</t>
        </is>
      </c>
      <c r="I508" s="15" t="inlineStr"/>
      <c r="J508" s="15" t="inlineStr">
        <is>
          <t>working_time_rule_set:2:min_paid_hours_per_day</t>
        </is>
      </c>
    </row>
    <row r="509">
      <c r="A509" s="14" t="inlineStr">
        <is>
          <t>Sectoral Determination 7: Domestic Worker Sector, published in Regulation Gazette No. 7434 (consolidated text)</t>
        </is>
      </c>
      <c r="B509" s="14" t="inlineStr"/>
      <c r="C509" s="15" t="inlineStr"/>
      <c r="D509" s="15" t="inlineStr">
        <is>
          <t>REF-2026.03.01-RULES-r4</t>
        </is>
      </c>
      <c r="E509" s="15" t="inlineStr">
        <is>
          <t>working_time_rule_set</t>
        </is>
      </c>
      <c r="F509" s="14" t="inlineStr">
        <is>
          <t>Working time rules — DOMESTIC — night allowance type</t>
        </is>
      </c>
      <c r="G509" s="15" t="inlineStr">
        <is>
          <t>The instrument states none — the parties agree it</t>
        </is>
      </c>
      <c r="H509" s="15" t="inlineStr">
        <is>
          <t>2026-03-01</t>
        </is>
      </c>
      <c r="I509" s="15" t="inlineStr"/>
      <c r="J509" s="15" t="inlineStr">
        <is>
          <t>working_time_rule_set:2:night_allowance_type</t>
        </is>
      </c>
    </row>
    <row r="510">
      <c r="A510" s="14" t="inlineStr">
        <is>
          <t>Sectoral Determination 7: Domestic Worker Sector, published in Regulation Gazette No. 7434 (consolidated text)</t>
        </is>
      </c>
      <c r="B510" s="14" t="inlineStr"/>
      <c r="C510" s="15" t="inlineStr"/>
      <c r="D510" s="15" t="inlineStr">
        <is>
          <t>REF-2026.03.01-RULES-r4</t>
        </is>
      </c>
      <c r="E510" s="15" t="inlineStr">
        <is>
          <t>working_time_rule_set</t>
        </is>
      </c>
      <c r="F510" s="14" t="inlineStr">
        <is>
          <t>Working time rules — DOMESTIC — night work end time</t>
        </is>
      </c>
      <c r="G510" s="15" t="inlineStr">
        <is>
          <t>06:00:00</t>
        </is>
      </c>
      <c r="H510" s="15" t="inlineStr">
        <is>
          <t>2026-03-01</t>
        </is>
      </c>
      <c r="I510" s="15" t="inlineStr"/>
      <c r="J510" s="15" t="inlineStr">
        <is>
          <t>working_time_rule_set:2:night_work_end_time</t>
        </is>
      </c>
    </row>
    <row r="511">
      <c r="A511" s="14" t="inlineStr">
        <is>
          <t>Sectoral Determination 7: Domestic Worker Sector, published in Regulation Gazette No. 7434 (consolidated text)</t>
        </is>
      </c>
      <c r="B511" s="14" t="inlineStr"/>
      <c r="C511" s="15" t="inlineStr"/>
      <c r="D511" s="15" t="inlineStr">
        <is>
          <t>REF-2026.03.01-RULES-r4</t>
        </is>
      </c>
      <c r="E511" s="15" t="inlineStr">
        <is>
          <t>working_time_rule_set</t>
        </is>
      </c>
      <c r="F511" s="14" t="inlineStr">
        <is>
          <t>Working time rules — DOMESTIC — night work start time</t>
        </is>
      </c>
      <c r="G511" s="15" t="inlineStr">
        <is>
          <t>18:00:00</t>
        </is>
      </c>
      <c r="H511" s="15" t="inlineStr">
        <is>
          <t>2026-03-01</t>
        </is>
      </c>
      <c r="I511" s="15" t="inlineStr"/>
      <c r="J511" s="15" t="inlineStr">
        <is>
          <t>working_time_rule_set:2:night_work_start_time</t>
        </is>
      </c>
    </row>
    <row r="512">
      <c r="A512" s="14" t="inlineStr">
        <is>
          <t>Sectoral Determination 7: Domestic Worker Sector, published in Regulation Gazette No. 7434 (consolidated text)</t>
        </is>
      </c>
      <c r="B512" s="14" t="inlineStr"/>
      <c r="C512" s="15" t="inlineStr"/>
      <c r="D512" s="15" t="inlineStr">
        <is>
          <t>REF-2026.03.01-RULES-r4</t>
        </is>
      </c>
      <c r="E512" s="15" t="inlineStr">
        <is>
          <t>working_time_rule_set</t>
        </is>
      </c>
      <c r="F512" s="14" t="inlineStr">
        <is>
          <t>Working time rules — DOMESTIC — ordinary hours per day 5day</t>
        </is>
      </c>
      <c r="G512" s="15" t="inlineStr">
        <is>
          <t>9,00</t>
        </is>
      </c>
      <c r="H512" s="15" t="inlineStr">
        <is>
          <t>2026-03-01</t>
        </is>
      </c>
      <c r="I512" s="15" t="inlineStr"/>
      <c r="J512" s="15" t="inlineStr">
        <is>
          <t>working_time_rule_set:2:ordinary_hours_per_day_5day</t>
        </is>
      </c>
    </row>
    <row r="513">
      <c r="A513" s="14" t="inlineStr">
        <is>
          <t>Sectoral Determination 7: Domestic Worker Sector, published in Regulation Gazette No. 7434 (consolidated text)</t>
        </is>
      </c>
      <c r="B513" s="14" t="inlineStr"/>
      <c r="C513" s="15" t="inlineStr"/>
      <c r="D513" s="15" t="inlineStr">
        <is>
          <t>REF-2026.03.01-RULES-r4</t>
        </is>
      </c>
      <c r="E513" s="15" t="inlineStr">
        <is>
          <t>working_time_rule_set</t>
        </is>
      </c>
      <c r="F513" s="14" t="inlineStr">
        <is>
          <t>Working time rules — DOMESTIC — ordinary hours per day 6day</t>
        </is>
      </c>
      <c r="G513" s="15" t="inlineStr">
        <is>
          <t>8,00</t>
        </is>
      </c>
      <c r="H513" s="15" t="inlineStr">
        <is>
          <t>2026-03-01</t>
        </is>
      </c>
      <c r="I513" s="15" t="inlineStr"/>
      <c r="J513" s="15" t="inlineStr">
        <is>
          <t>working_time_rule_set:2:ordinary_hours_per_day_6day</t>
        </is>
      </c>
    </row>
    <row r="514">
      <c r="A514" s="14" t="inlineStr">
        <is>
          <t>Sectoral Determination 7: Domestic Worker Sector, published in Regulation Gazette No. 7434 (consolidated text)</t>
        </is>
      </c>
      <c r="B514" s="14" t="inlineStr"/>
      <c r="C514" s="15" t="inlineStr"/>
      <c r="D514" s="15" t="inlineStr">
        <is>
          <t>REF-2026.03.01-RULES-r4</t>
        </is>
      </c>
      <c r="E514" s="15" t="inlineStr">
        <is>
          <t>working_time_rule_set</t>
        </is>
      </c>
      <c r="F514" s="14" t="inlineStr">
        <is>
          <t>Working time rules — DOMESTIC — ordinary hours per week</t>
        </is>
      </c>
      <c r="G514" s="15" t="inlineStr">
        <is>
          <t>45,00</t>
        </is>
      </c>
      <c r="H514" s="15" t="inlineStr">
        <is>
          <t>2026-03-01</t>
        </is>
      </c>
      <c r="I514" s="15" t="inlineStr"/>
      <c r="J514" s="15" t="inlineStr">
        <is>
          <t>working_time_rule_set:2:ordinary_hours_per_week</t>
        </is>
      </c>
    </row>
    <row r="515">
      <c r="A515" s="14" t="inlineStr">
        <is>
          <t>Sectoral Determination 7: Domestic Worker Sector, published in Regulation Gazette No. 7434 (consolidated text)</t>
        </is>
      </c>
      <c r="B515" s="14" t="inlineStr"/>
      <c r="C515" s="15" t="inlineStr"/>
      <c r="D515" s="15" t="inlineStr">
        <is>
          <t>REF-2026.03.01-RULES-r4</t>
        </is>
      </c>
      <c r="E515" s="15" t="inlineStr">
        <is>
          <t>working_time_rule_set</t>
        </is>
      </c>
      <c r="F515" s="14" t="inlineStr">
        <is>
          <t>Working time rules — DOMESTIC — overtime multiplier</t>
        </is>
      </c>
      <c r="G515" s="15" t="inlineStr">
        <is>
          <t>1,500</t>
        </is>
      </c>
      <c r="H515" s="15" t="inlineStr">
        <is>
          <t>2026-03-01</t>
        </is>
      </c>
      <c r="I515" s="15" t="inlineStr"/>
      <c r="J515" s="15" t="inlineStr">
        <is>
          <t>working_time_rule_set:2:overtime_multiplier</t>
        </is>
      </c>
    </row>
    <row r="516">
      <c r="A516" s="14" t="inlineStr">
        <is>
          <t>Sectoral Determination 7: Domestic Worker Sector, published in Regulation Gazette No. 7434 (consolidated text)</t>
        </is>
      </c>
      <c r="B516" s="14" t="inlineStr"/>
      <c r="C516" s="15" t="inlineStr"/>
      <c r="D516" s="15" t="inlineStr">
        <is>
          <t>REF-2026.03.01-RULES-r4</t>
        </is>
      </c>
      <c r="E516" s="15" t="inlineStr">
        <is>
          <t>working_time_rule_set</t>
        </is>
      </c>
      <c r="F516" s="14" t="inlineStr">
        <is>
          <t>Working time rules — DOMESTIC — public holiday not worked paid</t>
        </is>
      </c>
      <c r="G516" s="15" t="inlineStr">
        <is>
          <t>Yes</t>
        </is>
      </c>
      <c r="H516" s="15" t="inlineStr">
        <is>
          <t>2026-03-01</t>
        </is>
      </c>
      <c r="I516" s="15" t="inlineStr"/>
      <c r="J516" s="15" t="inlineStr">
        <is>
          <t>working_time_rule_set:2:public_holiday_not_worked_paid</t>
        </is>
      </c>
    </row>
    <row r="517">
      <c r="A517" s="14" t="inlineStr">
        <is>
          <t>Sectoral Determination 7: Domestic Worker Sector, published in Regulation Gazette No. 7434 (consolidated text)</t>
        </is>
      </c>
      <c r="B517" s="14" t="inlineStr"/>
      <c r="C517" s="15" t="inlineStr"/>
      <c r="D517" s="15" t="inlineStr">
        <is>
          <t>REF-2026.03.01-RULES-r4</t>
        </is>
      </c>
      <c r="E517" s="15" t="inlineStr">
        <is>
          <t>working_time_rule_set</t>
        </is>
      </c>
      <c r="F517" s="14" t="inlineStr">
        <is>
          <t>Working time rules — DOMESTIC — public holiday worked multiplier</t>
        </is>
      </c>
      <c r="G517" s="15" t="inlineStr">
        <is>
          <t>2,000</t>
        </is>
      </c>
      <c r="H517" s="15" t="inlineStr">
        <is>
          <t>2026-03-01</t>
        </is>
      </c>
      <c r="I517" s="15" t="inlineStr"/>
      <c r="J517" s="15" t="inlineStr">
        <is>
          <t>working_time_rule_set:2:public_holiday_worked_multiplier</t>
        </is>
      </c>
    </row>
    <row r="518">
      <c r="A518" s="14" t="inlineStr">
        <is>
          <t>Sectoral Determination 7: Domestic Worker Sector, published in Regulation Gazette No. 7434 (consolidated text)</t>
        </is>
      </c>
      <c r="B518" s="14" t="inlineStr"/>
      <c r="C518" s="15" t="inlineStr"/>
      <c r="D518" s="15" t="inlineStr">
        <is>
          <t>REF-2026.03.01-RULES-r4</t>
        </is>
      </c>
      <c r="E518" s="15" t="inlineStr">
        <is>
          <t>working_time_rule_set</t>
        </is>
      </c>
      <c r="F518" s="14" t="inlineStr">
        <is>
          <t>Working time rules — DOMESTIC — standby allowance per shift</t>
        </is>
      </c>
      <c r="G518" s="15" t="inlineStr">
        <is>
          <t>R 20,00</t>
        </is>
      </c>
      <c r="H518" s="15" t="inlineStr">
        <is>
          <t>2026-03-01</t>
        </is>
      </c>
      <c r="I518" s="15" t="inlineStr"/>
      <c r="J518" s="15" t="inlineStr">
        <is>
          <t>working_time_rule_set:2:standby_allowance_per_shift</t>
        </is>
      </c>
    </row>
    <row r="519">
      <c r="A519" s="14" t="inlineStr">
        <is>
          <t>Sectoral Determination 7: Domestic Worker Sector, published in Regulation Gazette No. 7434 (consolidated text)</t>
        </is>
      </c>
      <c r="B519" s="14" t="inlineStr"/>
      <c r="C519" s="15" t="inlineStr"/>
      <c r="D519" s="15" t="inlineStr">
        <is>
          <t>REF-2026.03.01-RULES-r4</t>
        </is>
      </c>
      <c r="E519" s="15" t="inlineStr">
        <is>
          <t>working_time_rule_set</t>
        </is>
      </c>
      <c r="F519" s="14" t="inlineStr">
        <is>
          <t>Working time rules — DOMESTIC — standby hours before overtime</t>
        </is>
      </c>
      <c r="G519" s="15" t="inlineStr">
        <is>
          <t>3,00</t>
        </is>
      </c>
      <c r="H519" s="15" t="inlineStr">
        <is>
          <t>2026-03-01</t>
        </is>
      </c>
      <c r="I519" s="15" t="inlineStr"/>
      <c r="J519" s="15" t="inlineStr">
        <is>
          <t>working_time_rule_set:2:standby_hours_before_overtime</t>
        </is>
      </c>
    </row>
    <row r="520">
      <c r="A520" s="14" t="inlineStr">
        <is>
          <t>Sectoral Determination 7: Domestic Worker Sector, published in Regulation Gazette No. 7434 (consolidated text)</t>
        </is>
      </c>
      <c r="B520" s="14" t="inlineStr"/>
      <c r="C520" s="15" t="inlineStr"/>
      <c r="D520" s="15" t="inlineStr">
        <is>
          <t>REF-2026.03.01-RULES-r4</t>
        </is>
      </c>
      <c r="E520" s="15" t="inlineStr">
        <is>
          <t>working_time_rule_set</t>
        </is>
      </c>
      <c r="F520" s="14" t="inlineStr">
        <is>
          <t>Working time rules — DOMESTIC — standby window end</t>
        </is>
      </c>
      <c r="G520" s="15" t="inlineStr">
        <is>
          <t>06:00:00</t>
        </is>
      </c>
      <c r="H520" s="15" t="inlineStr">
        <is>
          <t>2026-03-01</t>
        </is>
      </c>
      <c r="I520" s="15" t="inlineStr"/>
      <c r="J520" s="15" t="inlineStr">
        <is>
          <t>working_time_rule_set:2:standby_window_end</t>
        </is>
      </c>
    </row>
    <row r="521">
      <c r="A521" s="14" t="inlineStr">
        <is>
          <t>Sectoral Determination 7: Domestic Worker Sector, published in Regulation Gazette No. 7434 (consolidated text)</t>
        </is>
      </c>
      <c r="B521" s="14" t="inlineStr"/>
      <c r="C521" s="15" t="inlineStr"/>
      <c r="D521" s="15" t="inlineStr">
        <is>
          <t>REF-2026.03.01-RULES-r4</t>
        </is>
      </c>
      <c r="E521" s="15" t="inlineStr">
        <is>
          <t>working_time_rule_set</t>
        </is>
      </c>
      <c r="F521" s="14" t="inlineStr">
        <is>
          <t>Working time rules — DOMESTIC — standby window start</t>
        </is>
      </c>
      <c r="G521" s="15" t="inlineStr">
        <is>
          <t>20:00:00</t>
        </is>
      </c>
      <c r="H521" s="15" t="inlineStr">
        <is>
          <t>2026-03-01</t>
        </is>
      </c>
      <c r="I521" s="15" t="inlineStr"/>
      <c r="J521" s="15" t="inlineStr">
        <is>
          <t>working_time_rule_set:2:standby_window_start</t>
        </is>
      </c>
    </row>
    <row r="522">
      <c r="A522" s="14" t="inlineStr">
        <is>
          <t>Sectoral Determination 7: Domestic Worker Sector, published in Regulation Gazette No. 7434 (consolidated text)</t>
        </is>
      </c>
      <c r="B522" s="14" t="inlineStr"/>
      <c r="C522" s="15" t="inlineStr"/>
      <c r="D522" s="15" t="inlineStr">
        <is>
          <t>REF-2026.03.01-RULES-r4</t>
        </is>
      </c>
      <c r="E522" s="15" t="inlineStr">
        <is>
          <t>working_time_rule_set</t>
        </is>
      </c>
      <c r="F522" s="14" t="inlineStr">
        <is>
          <t>Working time rules — DOMESTIC — sunday multiplier non ordinary</t>
        </is>
      </c>
      <c r="G522" s="15" t="inlineStr">
        <is>
          <t>2,000</t>
        </is>
      </c>
      <c r="H522" s="15" t="inlineStr">
        <is>
          <t>2026-03-01</t>
        </is>
      </c>
      <c r="I522" s="15" t="inlineStr"/>
      <c r="J522" s="15" t="inlineStr">
        <is>
          <t>working_time_rule_set:2:sunday_multiplier_non_ordinary</t>
        </is>
      </c>
    </row>
    <row r="523">
      <c r="A523" s="14" t="inlineStr">
        <is>
          <t>Sectoral Determination 7: Domestic Worker Sector, published in Regulation Gazette No. 7434 (consolidated text)</t>
        </is>
      </c>
      <c r="B523" s="14" t="inlineStr"/>
      <c r="C523" s="15" t="inlineStr"/>
      <c r="D523" s="15" t="inlineStr">
        <is>
          <t>REF-2026.03.01-RULES-r4</t>
        </is>
      </c>
      <c r="E523" s="15" t="inlineStr">
        <is>
          <t>working_time_rule_set</t>
        </is>
      </c>
      <c r="F523" s="14" t="inlineStr">
        <is>
          <t>Working time rules — DOMESTIC — sunday multiplier ordinary</t>
        </is>
      </c>
      <c r="G523" s="15" t="inlineStr">
        <is>
          <t>1,500</t>
        </is>
      </c>
      <c r="H523" s="15" t="inlineStr">
        <is>
          <t>2026-03-01</t>
        </is>
      </c>
      <c r="I523" s="15" t="inlineStr"/>
      <c r="J523" s="15" t="inlineStr">
        <is>
          <t>working_time_rule_set:2:sunday_multiplier_ordinary</t>
        </is>
      </c>
    </row>
    <row r="524">
      <c r="A524" s="14" t="inlineStr">
        <is>
          <t>Sectoral Determination 7: Domestic Worker Sector, published in Regulation Gazette No. 7434 (consolidated text)</t>
        </is>
      </c>
      <c r="B524" s="14" t="inlineStr"/>
      <c r="C524" s="15" t="inlineStr"/>
      <c r="D524" s="15" t="inlineStr">
        <is>
          <t>REF-2026.03.01-RULES-r4</t>
        </is>
      </c>
      <c r="E524" s="15" t="inlineStr">
        <is>
          <t>working_time_rule_set</t>
        </is>
      </c>
      <c r="F524" s="14" t="inlineStr">
        <is>
          <t>Working time rules — DOMESTIC — weekly rest hours</t>
        </is>
      </c>
      <c r="G524" s="15" t="inlineStr">
        <is>
          <t>36</t>
        </is>
      </c>
      <c r="H524" s="15" t="inlineStr">
        <is>
          <t>2026-03-01</t>
        </is>
      </c>
      <c r="I524" s="15" t="inlineStr"/>
      <c r="J524" s="15" t="inlineStr">
        <is>
          <t>working_time_rule_set:2:weekly_rest_hours</t>
        </is>
      </c>
    </row>
    <row r="525">
      <c r="A525" s="14" t="inlineStr">
        <is>
          <t>Sectoral Determination 7: Domestic Worker Sector, published in Regulation Gazette No. 7434 (consolidated text)</t>
        </is>
      </c>
      <c r="B525" s="14" t="inlineStr">
        <is>
          <t>read with Basic Conditions of Employment Act 75 of 1997 s37(1)(c)</t>
        </is>
      </c>
      <c r="C525" s="15" t="inlineStr"/>
      <c r="D525" s="15" t="inlineStr">
        <is>
          <t>REF-2026.03.01-RULES-r4</t>
        </is>
      </c>
      <c r="E525" s="15" t="inlineStr">
        <is>
          <t>termination_rule_set</t>
        </is>
      </c>
      <c r="F525" s="14" t="inlineStr">
        <is>
          <t>Termination rules — DOMESTIC — annual bonus min service months</t>
        </is>
      </c>
      <c r="G525" s="15" t="inlineStr">
        <is>
          <t>0</t>
        </is>
      </c>
      <c r="H525" s="15" t="inlineStr">
        <is>
          <t>2026-03-01</t>
        </is>
      </c>
      <c r="I525" s="15" t="inlineStr"/>
      <c r="J525" s="15" t="inlineStr">
        <is>
          <t>termination_rule_set:2:annual_bonus_min_service_months</t>
        </is>
      </c>
    </row>
    <row r="526">
      <c r="A526" s="14" t="inlineStr">
        <is>
          <t>Sectoral Determination 7: Domestic Worker Sector, published in Regulation Gazette No. 7434 (consolidated text)</t>
        </is>
      </c>
      <c r="B526" s="14" t="inlineStr">
        <is>
          <t>read with Basic Conditions of Employment Act 75 of 1997 s37(1)(c)</t>
        </is>
      </c>
      <c r="C526" s="15" t="inlineStr"/>
      <c r="D526" s="15" t="inlineStr">
        <is>
          <t>REF-2026.03.01-RULES-r4</t>
        </is>
      </c>
      <c r="E526" s="15" t="inlineStr">
        <is>
          <t>termination_rule_set</t>
        </is>
      </c>
      <c r="F526" s="14" t="inlineStr">
        <is>
          <t>Termination rules — DOMESTIC — annual bonus pro rata on termination</t>
        </is>
      </c>
      <c r="G526" s="15" t="inlineStr">
        <is>
          <t>No</t>
        </is>
      </c>
      <c r="H526" s="15" t="inlineStr">
        <is>
          <t>2026-03-01</t>
        </is>
      </c>
      <c r="I526" s="15" t="inlineStr"/>
      <c r="J526" s="15" t="inlineStr">
        <is>
          <t>termination_rule_set:2:annual_bonus_pro_rata_on_termination</t>
        </is>
      </c>
    </row>
    <row r="527">
      <c r="A527" s="14" t="inlineStr">
        <is>
          <t>Sectoral Determination 7: Domestic Worker Sector, published in Regulation Gazette No. 7434 (consolidated text)</t>
        </is>
      </c>
      <c r="B527" s="14" t="inlineStr">
        <is>
          <t>read with Basic Conditions of Employment Act 75 of 1997 s37(1)(c)</t>
        </is>
      </c>
      <c r="C527" s="15" t="inlineStr"/>
      <c r="D527" s="15" t="inlineStr">
        <is>
          <t>REF-2026.03.01-RULES-r4</t>
        </is>
      </c>
      <c r="E527" s="15" t="inlineStr">
        <is>
          <t>termination_rule_set</t>
        </is>
      </c>
      <c r="F527" s="14" t="inlineStr">
        <is>
          <t>Termination rules — DOMESTIC — annual bonus weeks</t>
        </is>
      </c>
      <c r="G527" s="15" t="inlineStr">
        <is>
          <t>0,000</t>
        </is>
      </c>
      <c r="H527" s="15" t="inlineStr">
        <is>
          <t>2026-03-01</t>
        </is>
      </c>
      <c r="I527" s="15" t="inlineStr"/>
      <c r="J527" s="15" t="inlineStr">
        <is>
          <t>termination_rule_set:2:annual_bonus_weeks</t>
        </is>
      </c>
    </row>
    <row r="528">
      <c r="A528" s="14" t="inlineStr">
        <is>
          <t>Sectoral Determination 7: Domestic Worker Sector, published in Regulation Gazette No. 7434 (consolidated text)</t>
        </is>
      </c>
      <c r="B528" s="14" t="inlineStr">
        <is>
          <t>read with Basic Conditions of Employment Act 75 of 1997 s37(1)(c)</t>
        </is>
      </c>
      <c r="C528" s="15" t="inlineStr"/>
      <c r="D528" s="15" t="inlineStr">
        <is>
          <t>REF-2026.03.01-RULES-r4</t>
        </is>
      </c>
      <c r="E528" s="15" t="inlineStr">
        <is>
          <t>termination_rule_set</t>
        </is>
      </c>
      <c r="F528" s="14" t="inlineStr">
        <is>
          <t>Termination rules — DOMESTIC — severance requires operational reason</t>
        </is>
      </c>
      <c r="G528" s="15" t="inlineStr">
        <is>
          <t>Yes</t>
        </is>
      </c>
      <c r="H528" s="15" t="inlineStr">
        <is>
          <t>2026-03-01</t>
        </is>
      </c>
      <c r="I528" s="15" t="inlineStr"/>
      <c r="J528" s="15" t="inlineStr">
        <is>
          <t>termination_rule_set:2:severance_requires_operational_reason</t>
        </is>
      </c>
    </row>
    <row r="529">
      <c r="A529" s="14" t="inlineStr">
        <is>
          <t>Sectoral Determination 7: Domestic Worker Sector, published in Regulation Gazette No. 7434 (consolidated text)</t>
        </is>
      </c>
      <c r="B529" s="14" t="inlineStr">
        <is>
          <t>read with Basic Conditions of Employment Act 75 of 1997 s37(1)(c)</t>
        </is>
      </c>
      <c r="C529" s="15" t="inlineStr"/>
      <c r="D529" s="15" t="inlineStr">
        <is>
          <t>REF-2026.03.01-RULES-r4</t>
        </is>
      </c>
      <c r="E529" s="15" t="inlineStr">
        <is>
          <t>termination_rule_set</t>
        </is>
      </c>
      <c r="F529" s="14" t="inlineStr">
        <is>
          <t>Termination rules — DOMESTIC — severance weeks per completed year</t>
        </is>
      </c>
      <c r="G529" s="15" t="inlineStr">
        <is>
          <t>1,00</t>
        </is>
      </c>
      <c r="H529" s="15" t="inlineStr">
        <is>
          <t>2026-03-01</t>
        </is>
      </c>
      <c r="I529" s="15" t="inlineStr"/>
      <c r="J529" s="15" t="inlineStr">
        <is>
          <t>termination_rule_set:2:severance_weeks_per_completed_year</t>
        </is>
      </c>
    </row>
    <row r="530">
      <c r="A530" s="14" t="inlineStr">
        <is>
          <t>Sectoral Determination 7: Domestic Worker Sector, published in Regulation Gazette No. 7434 (consolidated text)</t>
        </is>
      </c>
      <c r="B530" s="14" t="inlineStr">
        <is>
          <t>read with Basic Conditions of Employment Act 75 of 1997 s37(1)(c); SD7 clause 24(1)(a)</t>
        </is>
      </c>
      <c r="C530" s="15" t="inlineStr"/>
      <c r="D530" s="15" t="inlineStr">
        <is>
          <t>REF-2026.03.01-NOTICE-BANDS-3</t>
        </is>
      </c>
      <c r="E530" s="15" t="inlineStr">
        <is>
          <t>termination_notice_band</t>
        </is>
      </c>
      <c r="F530" s="14" t="inlineStr">
        <is>
          <t>Notice band 1 — DOMESTIC, 0.00 months to 6.00 months — is contested</t>
        </is>
      </c>
      <c r="G530" s="15" t="inlineStr">
        <is>
          <t>No</t>
        </is>
      </c>
      <c r="H530" s="15" t="inlineStr"/>
      <c r="I530" s="15" t="inlineStr"/>
      <c r="J530" s="15" t="inlineStr">
        <is>
          <t>termination_notice_band:4:is_contested</t>
        </is>
      </c>
    </row>
    <row r="531">
      <c r="A531" s="14" t="inlineStr">
        <is>
          <t>Sectoral Determination 7: Domestic Worker Sector, published in Regulation Gazette No. 7434 (consolidated text)</t>
        </is>
      </c>
      <c r="B531" s="14" t="inlineStr">
        <is>
          <t>read with Basic Conditions of Employment Act 75 of 1997 s37(1)(c); SD7 clause 24(1)(a)</t>
        </is>
      </c>
      <c r="C531" s="15" t="inlineStr"/>
      <c r="D531" s="15" t="inlineStr">
        <is>
          <t>REF-2026.03.01-NOTICE-BANDS-3</t>
        </is>
      </c>
      <c r="E531" s="15" t="inlineStr">
        <is>
          <t>termination_notice_band</t>
        </is>
      </c>
      <c r="F531" s="14" t="inlineStr">
        <is>
          <t>Notice band 1 — DOMESTIC, 0.00 months to 6.00 months — notice unit</t>
        </is>
      </c>
      <c r="G531" s="15" t="inlineStr">
        <is>
          <t>Weeks</t>
        </is>
      </c>
      <c r="H531" s="15" t="inlineStr"/>
      <c r="I531" s="15" t="inlineStr"/>
      <c r="J531" s="15" t="inlineStr">
        <is>
          <t>termination_notice_band:4:notice_unit</t>
        </is>
      </c>
    </row>
    <row r="532">
      <c r="A532" s="14" t="inlineStr">
        <is>
          <t>Sectoral Determination 7: Domestic Worker Sector, published in Regulation Gazette No. 7434 (consolidated text)</t>
        </is>
      </c>
      <c r="B532" s="14" t="inlineStr">
        <is>
          <t>read with Basic Conditions of Employment Act 75 of 1997 s37(1)(c); SD7 clause 24(1)(a)</t>
        </is>
      </c>
      <c r="C532" s="15" t="inlineStr"/>
      <c r="D532" s="15" t="inlineStr">
        <is>
          <t>REF-2026.03.01-NOTICE-BANDS-3</t>
        </is>
      </c>
      <c r="E532" s="15" t="inlineStr">
        <is>
          <t>termination_notice_band</t>
        </is>
      </c>
      <c r="F532" s="14" t="inlineStr">
        <is>
          <t>Notice band 1 — DOMESTIC, 0.00 months to 6.00 months — notice value</t>
        </is>
      </c>
      <c r="G532" s="15" t="inlineStr">
        <is>
          <t>1,00</t>
        </is>
      </c>
      <c r="H532" s="15" t="inlineStr"/>
      <c r="I532" s="15" t="inlineStr"/>
      <c r="J532" s="15" t="inlineStr">
        <is>
          <t>termination_notice_band:4:notice_value</t>
        </is>
      </c>
    </row>
    <row r="533">
      <c r="A533" s="14" t="inlineStr">
        <is>
          <t>Sectoral Determination 7: Domestic Worker Sector, published in Regulation Gazette No. 7434 (consolidated text)</t>
        </is>
      </c>
      <c r="B533" s="14" t="inlineStr">
        <is>
          <t>read with Basic Conditions of Employment Act 75 of 1997 s37(1)(c); SD7 clause 24(1)(a)</t>
        </is>
      </c>
      <c r="C533" s="15" t="inlineStr"/>
      <c r="D533" s="15" t="inlineStr">
        <is>
          <t>REF-2026.03.01-NOTICE-BANDS-3</t>
        </is>
      </c>
      <c r="E533" s="15" t="inlineStr">
        <is>
          <t>termination_notice_band</t>
        </is>
      </c>
      <c r="F533" s="14" t="inlineStr">
        <is>
          <t>Notice band 1 — DOMESTIC, 0.00 months to 6.00 months — service from inclusive</t>
        </is>
      </c>
      <c r="G533" s="15" t="inlineStr">
        <is>
          <t>Yes</t>
        </is>
      </c>
      <c r="H533" s="15" t="inlineStr"/>
      <c r="I533" s="15" t="inlineStr"/>
      <c r="J533" s="15" t="inlineStr">
        <is>
          <t>termination_notice_band:4:service_from_inclusive</t>
        </is>
      </c>
    </row>
    <row r="534">
      <c r="A534" s="14" t="inlineStr">
        <is>
          <t>Sectoral Determination 7: Domestic Worker Sector, published in Regulation Gazette No. 7434 (consolidated text)</t>
        </is>
      </c>
      <c r="B534" s="14" t="inlineStr">
        <is>
          <t>read with Basic Conditions of Employment Act 75 of 1997 s37(1)(c); SD7 clause 24(1)(a)</t>
        </is>
      </c>
      <c r="C534" s="15" t="inlineStr"/>
      <c r="D534" s="15" t="inlineStr">
        <is>
          <t>REF-2026.03.01-NOTICE-BANDS-3</t>
        </is>
      </c>
      <c r="E534" s="15" t="inlineStr">
        <is>
          <t>termination_notice_band</t>
        </is>
      </c>
      <c r="F534" s="14" t="inlineStr">
        <is>
          <t>Notice band 1 — DOMESTIC, 0.00 months to 6.00 months — service from unit</t>
        </is>
      </c>
      <c r="G534" s="15" t="inlineStr">
        <is>
          <t>Months</t>
        </is>
      </c>
      <c r="H534" s="15" t="inlineStr"/>
      <c r="I534" s="15" t="inlineStr"/>
      <c r="J534" s="15" t="inlineStr">
        <is>
          <t>termination_notice_band:4:service_from_unit</t>
        </is>
      </c>
    </row>
    <row r="535">
      <c r="A535" s="14" t="inlineStr">
        <is>
          <t>Sectoral Determination 7: Domestic Worker Sector, published in Regulation Gazette No. 7434 (consolidated text)</t>
        </is>
      </c>
      <c r="B535" s="14" t="inlineStr">
        <is>
          <t>read with Basic Conditions of Employment Act 75 of 1997 s37(1)(c); SD7 clause 24(1)(a)</t>
        </is>
      </c>
      <c r="C535" s="15" t="inlineStr"/>
      <c r="D535" s="15" t="inlineStr">
        <is>
          <t>REF-2026.03.01-NOTICE-BANDS-3</t>
        </is>
      </c>
      <c r="E535" s="15" t="inlineStr">
        <is>
          <t>termination_notice_band</t>
        </is>
      </c>
      <c r="F535" s="14" t="inlineStr">
        <is>
          <t>Notice band 1 — DOMESTIC, 0.00 months to 6.00 months — service from value</t>
        </is>
      </c>
      <c r="G535" s="15" t="inlineStr">
        <is>
          <t>0,00</t>
        </is>
      </c>
      <c r="H535" s="15" t="inlineStr"/>
      <c r="I535" s="15" t="inlineStr"/>
      <c r="J535" s="15" t="inlineStr">
        <is>
          <t>termination_notice_band:4:service_from_value</t>
        </is>
      </c>
    </row>
    <row r="536">
      <c r="A536" s="14" t="inlineStr">
        <is>
          <t>Sectoral Determination 7: Domestic Worker Sector, published in Regulation Gazette No. 7434 (consolidated text)</t>
        </is>
      </c>
      <c r="B536" s="14" t="inlineStr">
        <is>
          <t>read with Basic Conditions of Employment Act 75 of 1997 s37(1)(c); SD7 clause 24(1)(a)</t>
        </is>
      </c>
      <c r="C536" s="15" t="inlineStr"/>
      <c r="D536" s="15" t="inlineStr">
        <is>
          <t>REF-2026.03.01-NOTICE-BANDS-3</t>
        </is>
      </c>
      <c r="E536" s="15" t="inlineStr">
        <is>
          <t>termination_notice_band</t>
        </is>
      </c>
      <c r="F536" s="14" t="inlineStr">
        <is>
          <t>Notice band 1 — DOMESTIC, 0.00 months to 6.00 months — service to inclusive</t>
        </is>
      </c>
      <c r="G536" s="15" t="inlineStr">
        <is>
          <t>Yes</t>
        </is>
      </c>
      <c r="H536" s="15" t="inlineStr"/>
      <c r="I536" s="15" t="inlineStr"/>
      <c r="J536" s="15" t="inlineStr">
        <is>
          <t>termination_notice_band:4:service_to_inclusive</t>
        </is>
      </c>
    </row>
    <row r="537">
      <c r="A537" s="14" t="inlineStr">
        <is>
          <t>Sectoral Determination 7: Domestic Worker Sector, published in Regulation Gazette No. 7434 (consolidated text)</t>
        </is>
      </c>
      <c r="B537" s="14" t="inlineStr">
        <is>
          <t>read with Basic Conditions of Employment Act 75 of 1997 s37(1)(c); SD7 clause 24(1)(a)</t>
        </is>
      </c>
      <c r="C537" s="15" t="inlineStr"/>
      <c r="D537" s="15" t="inlineStr">
        <is>
          <t>REF-2026.03.01-NOTICE-BANDS-3</t>
        </is>
      </c>
      <c r="E537" s="15" t="inlineStr">
        <is>
          <t>termination_notice_band</t>
        </is>
      </c>
      <c r="F537" s="14" t="inlineStr">
        <is>
          <t>Notice band 1 — DOMESTIC, 0.00 months to 6.00 months — service to unit</t>
        </is>
      </c>
      <c r="G537" s="15" t="inlineStr">
        <is>
          <t>Months</t>
        </is>
      </c>
      <c r="H537" s="15" t="inlineStr"/>
      <c r="I537" s="15" t="inlineStr"/>
      <c r="J537" s="15" t="inlineStr">
        <is>
          <t>termination_notice_band:4:service_to_unit</t>
        </is>
      </c>
    </row>
    <row r="538">
      <c r="A538" s="14" t="inlineStr">
        <is>
          <t>Sectoral Determination 7: Domestic Worker Sector, published in Regulation Gazette No. 7434 (consolidated text)</t>
        </is>
      </c>
      <c r="B538" s="14" t="inlineStr">
        <is>
          <t>read with Basic Conditions of Employment Act 75 of 1997 s37(1)(c); SD7 clause 24(1)(a)</t>
        </is>
      </c>
      <c r="C538" s="15" t="inlineStr"/>
      <c r="D538" s="15" t="inlineStr">
        <is>
          <t>REF-2026.03.01-NOTICE-BANDS-3</t>
        </is>
      </c>
      <c r="E538" s="15" t="inlineStr">
        <is>
          <t>termination_notice_band</t>
        </is>
      </c>
      <c r="F538" s="14" t="inlineStr">
        <is>
          <t>Notice band 1 — DOMESTIC, 0.00 months to 6.00 months — service to value</t>
        </is>
      </c>
      <c r="G538" s="15" t="inlineStr">
        <is>
          <t>6,00</t>
        </is>
      </c>
      <c r="H538" s="15" t="inlineStr"/>
      <c r="I538" s="15" t="inlineStr"/>
      <c r="J538" s="15" t="inlineStr">
        <is>
          <t>termination_notice_band:4:service_to_value</t>
        </is>
      </c>
    </row>
    <row r="539">
      <c r="A539" s="14" t="inlineStr">
        <is>
          <t>Sectoral Determination 7: Domestic Worker Sector, published in Regulation Gazette No. 7434 (consolidated text)</t>
        </is>
      </c>
      <c r="B539" s="14" t="inlineStr">
        <is>
          <t>read with Basic Conditions of Employment Act 75 of 1997 s37(1)(c); SD7 clause 24(1)(b)</t>
        </is>
      </c>
      <c r="C539" s="15" t="inlineStr"/>
      <c r="D539" s="15" t="inlineStr">
        <is>
          <t>REF-2026.03.01-NOTICE-BANDS-3</t>
        </is>
      </c>
      <c r="E539" s="15" t="inlineStr">
        <is>
          <t>termination_notice_band</t>
        </is>
      </c>
      <c r="F539" s="14" t="inlineStr">
        <is>
          <t>Notice band 2 — DOMESTIC, 6.00 months to open-ended — is contested</t>
        </is>
      </c>
      <c r="G539" s="15" t="inlineStr">
        <is>
          <t>No</t>
        </is>
      </c>
      <c r="H539" s="15" t="inlineStr"/>
      <c r="I539" s="15" t="inlineStr"/>
      <c r="J539" s="15" t="inlineStr">
        <is>
          <t>termination_notice_band:5:is_contested</t>
        </is>
      </c>
    </row>
    <row r="540">
      <c r="A540" s="14" t="inlineStr">
        <is>
          <t>Sectoral Determination 7: Domestic Worker Sector, published in Regulation Gazette No. 7434 (consolidated text)</t>
        </is>
      </c>
      <c r="B540" s="14" t="inlineStr">
        <is>
          <t>read with Basic Conditions of Employment Act 75 of 1997 s37(1)(c); SD7 clause 24(1)(b)</t>
        </is>
      </c>
      <c r="C540" s="15" t="inlineStr"/>
      <c r="D540" s="15" t="inlineStr">
        <is>
          <t>REF-2026.03.01-NOTICE-BANDS-3</t>
        </is>
      </c>
      <c r="E540" s="15" t="inlineStr">
        <is>
          <t>termination_notice_band</t>
        </is>
      </c>
      <c r="F540" s="14" t="inlineStr">
        <is>
          <t>Notice band 2 — DOMESTIC, 6.00 months to open-ended — notice unit</t>
        </is>
      </c>
      <c r="G540" s="15" t="inlineStr">
        <is>
          <t>Weeks</t>
        </is>
      </c>
      <c r="H540" s="15" t="inlineStr"/>
      <c r="I540" s="15" t="inlineStr"/>
      <c r="J540" s="15" t="inlineStr">
        <is>
          <t>termination_notice_band:5:notice_unit</t>
        </is>
      </c>
    </row>
    <row r="541">
      <c r="A541" s="14" t="inlineStr">
        <is>
          <t>Sectoral Determination 7: Domestic Worker Sector, published in Regulation Gazette No. 7434 (consolidated text)</t>
        </is>
      </c>
      <c r="B541" s="14" t="inlineStr">
        <is>
          <t>read with Basic Conditions of Employment Act 75 of 1997 s37(1)(c); SD7 clause 24(1)(b)</t>
        </is>
      </c>
      <c r="C541" s="15" t="inlineStr"/>
      <c r="D541" s="15" t="inlineStr">
        <is>
          <t>REF-2026.03.01-NOTICE-BANDS-3</t>
        </is>
      </c>
      <c r="E541" s="15" t="inlineStr">
        <is>
          <t>termination_notice_band</t>
        </is>
      </c>
      <c r="F541" s="14" t="inlineStr">
        <is>
          <t>Notice band 2 — DOMESTIC, 6.00 months to open-ended — notice value</t>
        </is>
      </c>
      <c r="G541" s="15" t="inlineStr">
        <is>
          <t>4,00</t>
        </is>
      </c>
      <c r="H541" s="15" t="inlineStr"/>
      <c r="I541" s="15" t="inlineStr"/>
      <c r="J541" s="15" t="inlineStr">
        <is>
          <t>termination_notice_band:5:notice_value</t>
        </is>
      </c>
    </row>
    <row r="542">
      <c r="A542" s="14" t="inlineStr">
        <is>
          <t>Sectoral Determination 7: Domestic Worker Sector, published in Regulation Gazette No. 7434 (consolidated text)</t>
        </is>
      </c>
      <c r="B542" s="14" t="inlineStr">
        <is>
          <t>read with Basic Conditions of Employment Act 75 of 1997 s37(1)(c); SD7 clause 24(1)(b)</t>
        </is>
      </c>
      <c r="C542" s="15" t="inlineStr"/>
      <c r="D542" s="15" t="inlineStr">
        <is>
          <t>REF-2026.03.01-NOTICE-BANDS-3</t>
        </is>
      </c>
      <c r="E542" s="15" t="inlineStr">
        <is>
          <t>termination_notice_band</t>
        </is>
      </c>
      <c r="F542" s="14" t="inlineStr">
        <is>
          <t>Notice band 2 — DOMESTIC, 6.00 months to open-ended — service from inclusive</t>
        </is>
      </c>
      <c r="G542" s="15" t="inlineStr">
        <is>
          <t>No</t>
        </is>
      </c>
      <c r="H542" s="15" t="inlineStr"/>
      <c r="I542" s="15" t="inlineStr"/>
      <c r="J542" s="15" t="inlineStr">
        <is>
          <t>termination_notice_band:5:service_from_inclusive</t>
        </is>
      </c>
    </row>
    <row r="543">
      <c r="A543" s="14" t="inlineStr">
        <is>
          <t>Sectoral Determination 7: Domestic Worker Sector, published in Regulation Gazette No. 7434 (consolidated text)</t>
        </is>
      </c>
      <c r="B543" s="14" t="inlineStr">
        <is>
          <t>read with Basic Conditions of Employment Act 75 of 1997 s37(1)(c); SD7 clause 24(1)(b)</t>
        </is>
      </c>
      <c r="C543" s="15" t="inlineStr"/>
      <c r="D543" s="15" t="inlineStr">
        <is>
          <t>REF-2026.03.01-NOTICE-BANDS-3</t>
        </is>
      </c>
      <c r="E543" s="15" t="inlineStr">
        <is>
          <t>termination_notice_band</t>
        </is>
      </c>
      <c r="F543" s="14" t="inlineStr">
        <is>
          <t>Notice band 2 — DOMESTIC, 6.00 months to open-ended — service from unit</t>
        </is>
      </c>
      <c r="G543" s="15" t="inlineStr">
        <is>
          <t>Months</t>
        </is>
      </c>
      <c r="H543" s="15" t="inlineStr"/>
      <c r="I543" s="15" t="inlineStr"/>
      <c r="J543" s="15" t="inlineStr">
        <is>
          <t>termination_notice_band:5:service_from_unit</t>
        </is>
      </c>
    </row>
    <row r="544">
      <c r="A544" s="14" t="inlineStr">
        <is>
          <t>Sectoral Determination 7: Domestic Worker Sector, published in Regulation Gazette No. 7434 (consolidated text)</t>
        </is>
      </c>
      <c r="B544" s="14" t="inlineStr">
        <is>
          <t>read with Basic Conditions of Employment Act 75 of 1997 s37(1)(c); SD7 clause 24(1)(b)</t>
        </is>
      </c>
      <c r="C544" s="15" t="inlineStr"/>
      <c r="D544" s="15" t="inlineStr">
        <is>
          <t>REF-2026.03.01-NOTICE-BANDS-3</t>
        </is>
      </c>
      <c r="E544" s="15" t="inlineStr">
        <is>
          <t>termination_notice_band</t>
        </is>
      </c>
      <c r="F544" s="14" t="inlineStr">
        <is>
          <t>Notice band 2 — DOMESTIC, 6.00 months to open-ended — service from value</t>
        </is>
      </c>
      <c r="G544" s="15" t="inlineStr">
        <is>
          <t>6,00</t>
        </is>
      </c>
      <c r="H544" s="15" t="inlineStr"/>
      <c r="I544" s="15" t="inlineStr"/>
      <c r="J544" s="15" t="inlineStr">
        <is>
          <t>termination_notice_band:5:service_from_value</t>
        </is>
      </c>
    </row>
    <row r="545">
      <c r="A545" s="14" t="inlineStr">
        <is>
          <t>Sectoral Determination 7: Domestic Worker Sector, published in Regulation Gazette No. 7434 (consolidated text)</t>
        </is>
      </c>
      <c r="B545" s="14" t="inlineStr">
        <is>
          <t>read with Basic Conditions of Employment Act 75 of 1997 ss 20-27</t>
        </is>
      </c>
      <c r="C545" s="15" t="inlineStr"/>
      <c r="D545" s="15" t="inlineStr">
        <is>
          <t>REF-2026.03.01-RULES-r4</t>
        </is>
      </c>
      <c r="E545" s="15" t="inlineStr">
        <is>
          <t>leave_rule_set</t>
        </is>
      </c>
      <c r="F545" s="14" t="inlineStr">
        <is>
          <t>Leave rules — DOMESTIC — annual accrual days per month 5day</t>
        </is>
      </c>
      <c r="G545" s="15" t="inlineStr">
        <is>
          <t>1,250</t>
        </is>
      </c>
      <c r="H545" s="15" t="inlineStr">
        <is>
          <t>2026-03-01</t>
        </is>
      </c>
      <c r="I545" s="15" t="inlineStr"/>
      <c r="J545" s="15" t="inlineStr">
        <is>
          <t>leave_rule_set:2:annual_accrual_days_per_month_5day</t>
        </is>
      </c>
    </row>
    <row r="546">
      <c r="A546" s="14" t="inlineStr">
        <is>
          <t>Sectoral Determination 7: Domestic Worker Sector, published in Regulation Gazette No. 7434 (consolidated text)</t>
        </is>
      </c>
      <c r="B546" s="14" t="inlineStr">
        <is>
          <t>read with Basic Conditions of Employment Act 75 of 1997 ss 20-27</t>
        </is>
      </c>
      <c r="C546" s="15" t="inlineStr"/>
      <c r="D546" s="15" t="inlineStr">
        <is>
          <t>REF-2026.03.01-RULES-r4</t>
        </is>
      </c>
      <c r="E546" s="15" t="inlineStr">
        <is>
          <t>leave_rule_set</t>
        </is>
      </c>
      <c r="F546" s="14" t="inlineStr">
        <is>
          <t>Leave rules — DOMESTIC — annual accrual days per month 6day</t>
        </is>
      </c>
      <c r="G546" s="15" t="inlineStr">
        <is>
          <t>1,500</t>
        </is>
      </c>
      <c r="H546" s="15" t="inlineStr">
        <is>
          <t>2026-03-01</t>
        </is>
      </c>
      <c r="I546" s="15" t="inlineStr"/>
      <c r="J546" s="15" t="inlineStr">
        <is>
          <t>leave_rule_set:2:annual_accrual_days_per_month_6day</t>
        </is>
      </c>
    </row>
    <row r="547">
      <c r="A547" s="14" t="inlineStr">
        <is>
          <t>Sectoral Determination 7: Domestic Worker Sector, published in Regulation Gazette No. 7434 (consolidated text)</t>
        </is>
      </c>
      <c r="B547" s="14" t="inlineStr">
        <is>
          <t>read with Basic Conditions of Employment Act 75 of 1997 ss 20-27</t>
        </is>
      </c>
      <c r="C547" s="15" t="inlineStr"/>
      <c r="D547" s="15" t="inlineStr">
        <is>
          <t>REF-2026.03.01-RULES-r4</t>
        </is>
      </c>
      <c r="E547" s="15" t="inlineStr">
        <is>
          <t>leave_rule_set</t>
        </is>
      </c>
      <c r="F547" s="14" t="inlineStr">
        <is>
          <t>Leave rules — DOMESTIC — annual accrual ratio days worked</t>
        </is>
      </c>
      <c r="G547" s="15" t="inlineStr">
        <is>
          <t>17</t>
        </is>
      </c>
      <c r="H547" s="15" t="inlineStr">
        <is>
          <t>2026-03-01</t>
        </is>
      </c>
      <c r="I547" s="15" t="inlineStr"/>
      <c r="J547" s="15" t="inlineStr">
        <is>
          <t>leave_rule_set:2:annual_accrual_ratio_days_worked</t>
        </is>
      </c>
    </row>
    <row r="548">
      <c r="A548" s="14" t="inlineStr">
        <is>
          <t>Sectoral Determination 7: Domestic Worker Sector, published in Regulation Gazette No. 7434 (consolidated text)</t>
        </is>
      </c>
      <c r="B548" s="14" t="inlineStr">
        <is>
          <t>read with Basic Conditions of Employment Act 75 of 1997 ss 20-27</t>
        </is>
      </c>
      <c r="C548" s="15" t="inlineStr"/>
      <c r="D548" s="15" t="inlineStr">
        <is>
          <t>REF-2026.03.01-RULES-r4</t>
        </is>
      </c>
      <c r="E548" s="15" t="inlineStr">
        <is>
          <t>leave_rule_set</t>
        </is>
      </c>
      <c r="F548" s="14" t="inlineStr">
        <is>
          <t>Leave rules — DOMESTIC — annual accrual ratio hours worked</t>
        </is>
      </c>
      <c r="G548" s="15" t="inlineStr">
        <is>
          <t>17</t>
        </is>
      </c>
      <c r="H548" s="15" t="inlineStr">
        <is>
          <t>2026-03-01</t>
        </is>
      </c>
      <c r="I548" s="15" t="inlineStr"/>
      <c r="J548" s="15" t="inlineStr">
        <is>
          <t>leave_rule_set:2:annual_accrual_ratio_hours_worked</t>
        </is>
      </c>
    </row>
    <row r="549">
      <c r="A549" s="14" t="inlineStr">
        <is>
          <t>Sectoral Determination 7: Domestic Worker Sector, published in Regulation Gazette No. 7434 (consolidated text)</t>
        </is>
      </c>
      <c r="B549" s="14" t="inlineStr">
        <is>
          <t>read with Basic Conditions of Employment Act 75 of 1997 ss 20-27</t>
        </is>
      </c>
      <c r="C549" s="15" t="inlineStr"/>
      <c r="D549" s="15" t="inlineStr">
        <is>
          <t>REF-2026.03.01-RULES-r4</t>
        </is>
      </c>
      <c r="E549" s="15" t="inlineStr">
        <is>
          <t>leave_rule_set</t>
        </is>
      </c>
      <c r="F549" s="14" t="inlineStr">
        <is>
          <t>Leave rules — DOMESTIC — annual leave cycle months</t>
        </is>
      </c>
      <c r="G549" s="15" t="inlineStr">
        <is>
          <t>12</t>
        </is>
      </c>
      <c r="H549" s="15" t="inlineStr">
        <is>
          <t>2026-03-01</t>
        </is>
      </c>
      <c r="I549" s="15" t="inlineStr"/>
      <c r="J549" s="15" t="inlineStr">
        <is>
          <t>leave_rule_set:2:annual_leave_cycle_months</t>
        </is>
      </c>
    </row>
    <row r="550">
      <c r="A550" s="14" t="inlineStr">
        <is>
          <t>Sectoral Determination 7: Domestic Worker Sector, published in Regulation Gazette No. 7434 (consolidated text)</t>
        </is>
      </c>
      <c r="B550" s="14" t="inlineStr">
        <is>
          <t>read with Basic Conditions of Employment Act 75 of 1997 ss 20-27</t>
        </is>
      </c>
      <c r="C550" s="15" t="inlineStr"/>
      <c r="D550" s="15" t="inlineStr">
        <is>
          <t>REF-2026.03.01-RULES-r4</t>
        </is>
      </c>
      <c r="E550" s="15" t="inlineStr">
        <is>
          <t>leave_rule_set</t>
        </is>
      </c>
      <c r="F550" s="14" t="inlineStr">
        <is>
          <t>Leave rules — DOMESTIC — annual leave days per cycle 5day</t>
        </is>
      </c>
      <c r="G550" s="15" t="inlineStr">
        <is>
          <t>15,000</t>
        </is>
      </c>
      <c r="H550" s="15" t="inlineStr">
        <is>
          <t>2026-03-01</t>
        </is>
      </c>
      <c r="I550" s="15" t="inlineStr"/>
      <c r="J550" s="15" t="inlineStr">
        <is>
          <t>leave_rule_set:2:annual_leave_days_per_cycle_5day</t>
        </is>
      </c>
    </row>
    <row r="551">
      <c r="A551" s="14" t="inlineStr">
        <is>
          <t>Sectoral Determination 7: Domestic Worker Sector, published in Regulation Gazette No. 7434 (consolidated text)</t>
        </is>
      </c>
      <c r="B551" s="14" t="inlineStr">
        <is>
          <t>read with Basic Conditions of Employment Act 75 of 1997 ss 20-27</t>
        </is>
      </c>
      <c r="C551" s="15" t="inlineStr"/>
      <c r="D551" s="15" t="inlineStr">
        <is>
          <t>REF-2026.03.01-RULES-r4</t>
        </is>
      </c>
      <c r="E551" s="15" t="inlineStr">
        <is>
          <t>leave_rule_set</t>
        </is>
      </c>
      <c r="F551" s="14" t="inlineStr">
        <is>
          <t>Leave rules — DOMESTIC — annual leave days per cycle 6day</t>
        </is>
      </c>
      <c r="G551" s="15" t="inlineStr">
        <is>
          <t>18,000</t>
        </is>
      </c>
      <c r="H551" s="15" t="inlineStr">
        <is>
          <t>2026-03-01</t>
        </is>
      </c>
      <c r="I551" s="15" t="inlineStr"/>
      <c r="J551" s="15" t="inlineStr">
        <is>
          <t>leave_rule_set:2:annual_leave_days_per_cycle_6day</t>
        </is>
      </c>
    </row>
    <row r="552">
      <c r="A552" s="14" t="inlineStr">
        <is>
          <t>Sectoral Determination 7: Domestic Worker Sector, published in Regulation Gazette No. 7434 (consolidated text)</t>
        </is>
      </c>
      <c r="B552" s="14" t="inlineStr">
        <is>
          <t>read with Basic Conditions of Employment Act 75 of 1997 ss 20-27</t>
        </is>
      </c>
      <c r="C552" s="15" t="inlineStr"/>
      <c r="D552" s="15" t="inlineStr">
        <is>
          <t>REF-2026.03.01-RULES-r4</t>
        </is>
      </c>
      <c r="E552" s="15" t="inlineStr">
        <is>
          <t>leave_rule_set</t>
        </is>
      </c>
      <c r="F552" s="14" t="inlineStr">
        <is>
          <t>Leave rules — DOMESTIC — annual leave forfeit months</t>
        </is>
      </c>
      <c r="G552" s="15" t="inlineStr">
        <is>
          <t>6</t>
        </is>
      </c>
      <c r="H552" s="15" t="inlineStr">
        <is>
          <t>2026-03-01</t>
        </is>
      </c>
      <c r="I552" s="15" t="inlineStr"/>
      <c r="J552" s="15" t="inlineStr">
        <is>
          <t>leave_rule_set:2:annual_leave_forfeit_months</t>
        </is>
      </c>
    </row>
    <row r="553">
      <c r="A553" s="14" t="inlineStr">
        <is>
          <t>Sectoral Determination 7: Domestic Worker Sector, published in Regulation Gazette No. 7434 (consolidated text)</t>
        </is>
      </c>
      <c r="B553" s="14" t="inlineStr">
        <is>
          <t>read with Basic Conditions of Employment Act 75 of 1997 ss 20-27</t>
        </is>
      </c>
      <c r="C553" s="15" t="inlineStr"/>
      <c r="D553" s="15" t="inlineStr">
        <is>
          <t>REF-2026.03.01-RULES-r4</t>
        </is>
      </c>
      <c r="E553" s="15" t="inlineStr">
        <is>
          <t>leave_rule_set</t>
        </is>
      </c>
      <c r="F553" s="14" t="inlineStr">
        <is>
          <t>Leave rules — DOMESTIC — annual leave payable on termination</t>
        </is>
      </c>
      <c r="G553" s="15" t="inlineStr">
        <is>
          <t>Yes</t>
        </is>
      </c>
      <c r="H553" s="15" t="inlineStr">
        <is>
          <t>2026-03-01</t>
        </is>
      </c>
      <c r="I553" s="15" t="inlineStr"/>
      <c r="J553" s="15" t="inlineStr">
        <is>
          <t>leave_rule_set:2:annual_leave_payable_on_termination</t>
        </is>
      </c>
    </row>
    <row r="554">
      <c r="A554" s="14" t="inlineStr">
        <is>
          <t>Sectoral Determination 7: Domestic Worker Sector, published in Regulation Gazette No. 7434 (consolidated text)</t>
        </is>
      </c>
      <c r="B554" s="14" t="inlineStr">
        <is>
          <t>read with Basic Conditions of Employment Act 75 of 1997 ss 20-27</t>
        </is>
      </c>
      <c r="C554" s="15" t="inlineStr"/>
      <c r="D554" s="15" t="inlineStr">
        <is>
          <t>REF-2026.03.01-RULES-r4</t>
        </is>
      </c>
      <c r="E554" s="15" t="inlineStr">
        <is>
          <t>leave_rule_set</t>
        </is>
      </c>
      <c r="F554" s="14" t="inlineStr">
        <is>
          <t>Leave rules — DOMESTIC — family resp min days per week</t>
        </is>
      </c>
      <c r="G554" s="15" t="inlineStr">
        <is>
          <t>4</t>
        </is>
      </c>
      <c r="H554" s="15" t="inlineStr">
        <is>
          <t>2026-03-01</t>
        </is>
      </c>
      <c r="I554" s="15" t="inlineStr"/>
      <c r="J554" s="15" t="inlineStr">
        <is>
          <t>leave_rule_set:2:family_resp_min_days_per_week</t>
        </is>
      </c>
    </row>
    <row r="555">
      <c r="A555" s="14" t="inlineStr">
        <is>
          <t>Sectoral Determination 7: Domestic Worker Sector, published in Regulation Gazette No. 7434 (consolidated text)</t>
        </is>
      </c>
      <c r="B555" s="14" t="inlineStr">
        <is>
          <t>read with Basic Conditions of Employment Act 75 of 1997 ss 20-27</t>
        </is>
      </c>
      <c r="C555" s="15" t="inlineStr"/>
      <c r="D555" s="15" t="inlineStr">
        <is>
          <t>REF-2026.03.01-RULES-r4</t>
        </is>
      </c>
      <c r="E555" s="15" t="inlineStr">
        <is>
          <t>leave_rule_set</t>
        </is>
      </c>
      <c r="F555" s="14" t="inlineStr">
        <is>
          <t>Leave rules — DOMESTIC — family resp min service months</t>
        </is>
      </c>
      <c r="G555" s="15" t="inlineStr">
        <is>
          <t>4</t>
        </is>
      </c>
      <c r="H555" s="15" t="inlineStr">
        <is>
          <t>2026-03-01</t>
        </is>
      </c>
      <c r="I555" s="15" t="inlineStr"/>
      <c r="J555" s="15" t="inlineStr">
        <is>
          <t>leave_rule_set:2:family_resp_min_service_months</t>
        </is>
      </c>
    </row>
    <row r="556">
      <c r="A556" s="14" t="inlineStr">
        <is>
          <t>Sectoral Determination 7: Domestic Worker Sector, published in Regulation Gazette No. 7434 (consolidated text)</t>
        </is>
      </c>
      <c r="B556" s="14" t="inlineStr">
        <is>
          <t>read with Basic Conditions of Employment Act 75 of 1997 ss 20-27</t>
        </is>
      </c>
      <c r="C556" s="15" t="inlineStr"/>
      <c r="D556" s="15" t="inlineStr">
        <is>
          <t>REF-2026.03.01-RULES-r4</t>
        </is>
      </c>
      <c r="E556" s="15" t="inlineStr">
        <is>
          <t>leave_rule_set</t>
        </is>
      </c>
      <c r="F556" s="14" t="inlineStr">
        <is>
          <t>Leave rules — DOMESTIC — family responsibility days</t>
        </is>
      </c>
      <c r="G556" s="15" t="inlineStr">
        <is>
          <t>5</t>
        </is>
      </c>
      <c r="H556" s="15" t="inlineStr">
        <is>
          <t>2026-03-01</t>
        </is>
      </c>
      <c r="I556" s="15" t="inlineStr"/>
      <c r="J556" s="15" t="inlineStr">
        <is>
          <t>leave_rule_set:2:family_responsibility_days</t>
        </is>
      </c>
    </row>
    <row r="557">
      <c r="A557" s="14" t="inlineStr">
        <is>
          <t>Sectoral Determination 7: Domestic Worker Sector, published in Regulation Gazette No. 7434 (consolidated text)</t>
        </is>
      </c>
      <c r="B557" s="14" t="inlineStr">
        <is>
          <t>read with Basic Conditions of Employment Act 75 of 1997 ss 20-27</t>
        </is>
      </c>
      <c r="C557" s="15" t="inlineStr"/>
      <c r="D557" s="15" t="inlineStr">
        <is>
          <t>REF-2026.03.01-RULES-r4</t>
        </is>
      </c>
      <c r="E557" s="15" t="inlineStr">
        <is>
          <t>leave_rule_set</t>
        </is>
      </c>
      <c r="F557" s="14" t="inlineStr">
        <is>
          <t>Leave rules — DOMESTIC — has long service annual leave</t>
        </is>
      </c>
      <c r="G557" s="15" t="inlineStr">
        <is>
          <t>No</t>
        </is>
      </c>
      <c r="H557" s="15" t="inlineStr">
        <is>
          <t>2026-03-01</t>
        </is>
      </c>
      <c r="I557" s="15" t="inlineStr"/>
      <c r="J557" s="15" t="inlineStr">
        <is>
          <t>leave_rule_set:2:has_long_service_annual_leave</t>
        </is>
      </c>
    </row>
    <row r="558">
      <c r="A558" s="14" t="inlineStr">
        <is>
          <t>Sectoral Determination 7: Domestic Worker Sector, published in Regulation Gazette No. 7434 (consolidated text)</t>
        </is>
      </c>
      <c r="B558" s="14" t="inlineStr">
        <is>
          <t>read with Basic Conditions of Employment Act 75 of 1997 ss 20-27</t>
        </is>
      </c>
      <c r="C558" s="15" t="inlineStr"/>
      <c r="D558" s="15" t="inlineStr">
        <is>
          <t>REF-2026.03.01-RULES-r4</t>
        </is>
      </c>
      <c r="E558" s="15" t="inlineStr">
        <is>
          <t>leave_rule_set</t>
        </is>
      </c>
      <c r="F558" s="14" t="inlineStr">
        <is>
          <t>Leave rules — DOMESTIC — maternity earliest start weeks before birth</t>
        </is>
      </c>
      <c r="G558" s="15" t="inlineStr">
        <is>
          <t>4</t>
        </is>
      </c>
      <c r="H558" s="15" t="inlineStr">
        <is>
          <t>2026-03-01</t>
        </is>
      </c>
      <c r="I558" s="15" t="inlineStr"/>
      <c r="J558" s="15" t="inlineStr">
        <is>
          <t>leave_rule_set:2:maternity_earliest_start_weeks_before_birth</t>
        </is>
      </c>
    </row>
    <row r="559">
      <c r="A559" s="14" t="inlineStr">
        <is>
          <t>Sectoral Determination 7: Domestic Worker Sector, published in Regulation Gazette No. 7434 (consolidated text)</t>
        </is>
      </c>
      <c r="B559" s="14" t="inlineStr">
        <is>
          <t>read with Basic Conditions of Employment Act 75 of 1997 ss 20-27</t>
        </is>
      </c>
      <c r="C559" s="15" t="inlineStr"/>
      <c r="D559" s="15" t="inlineStr">
        <is>
          <t>REF-2026.03.01-RULES-r4</t>
        </is>
      </c>
      <c r="E559" s="15" t="inlineStr">
        <is>
          <t>leave_rule_set</t>
        </is>
      </c>
      <c r="F559" s="14" t="inlineStr">
        <is>
          <t>Leave rules — DOMESTIC — maternity no work weeks after birth</t>
        </is>
      </c>
      <c r="G559" s="15" t="inlineStr">
        <is>
          <t>6</t>
        </is>
      </c>
      <c r="H559" s="15" t="inlineStr">
        <is>
          <t>2026-03-01</t>
        </is>
      </c>
      <c r="I559" s="15" t="inlineStr"/>
      <c r="J559" s="15" t="inlineStr">
        <is>
          <t>leave_rule_set:2:maternity_no_work_weeks_after_birth</t>
        </is>
      </c>
    </row>
    <row r="560">
      <c r="A560" s="14" t="inlineStr">
        <is>
          <t>Sectoral Determination 7: Domestic Worker Sector, published in Regulation Gazette No. 7434 (consolidated text)</t>
        </is>
      </c>
      <c r="B560" s="14" t="inlineStr">
        <is>
          <t>read with Basic Conditions of Employment Act 75 of 1997 ss 20-27</t>
        </is>
      </c>
      <c r="C560" s="15" t="inlineStr"/>
      <c r="D560" s="15" t="inlineStr">
        <is>
          <t>REF-2026.03.01-RULES-r4</t>
        </is>
      </c>
      <c r="E560" s="15" t="inlineStr">
        <is>
          <t>leave_rule_set</t>
        </is>
      </c>
      <c r="F560" s="14" t="inlineStr">
        <is>
          <t>Leave rules — DOMESTIC — parental leave additional days</t>
        </is>
      </c>
      <c r="G560" s="15" t="inlineStr">
        <is>
          <t>10</t>
        </is>
      </c>
      <c r="H560" s="15" t="inlineStr">
        <is>
          <t>2026-03-01</t>
        </is>
      </c>
      <c r="I560" s="15" t="inlineStr"/>
      <c r="J560" s="15" t="inlineStr">
        <is>
          <t>leave_rule_set:2:parental_leave_additional_days</t>
        </is>
      </c>
    </row>
    <row r="561">
      <c r="A561" s="14" t="inlineStr">
        <is>
          <t>Sectoral Determination 7: Domestic Worker Sector, published in Regulation Gazette No. 7434 (consolidated text)</t>
        </is>
      </c>
      <c r="B561" s="14" t="inlineStr">
        <is>
          <t>read with Basic Conditions of Employment Act 75 of 1997 ss 20-27</t>
        </is>
      </c>
      <c r="C561" s="15" t="inlineStr"/>
      <c r="D561" s="15" t="inlineStr">
        <is>
          <t>REF-2026.03.01-RULES-r4</t>
        </is>
      </c>
      <c r="E561" s="15" t="inlineStr">
        <is>
          <t>leave_rule_set</t>
        </is>
      </c>
      <c r="F561" s="14" t="inlineStr">
        <is>
          <t>Leave rules — DOMESTIC — parental leave shareable</t>
        </is>
      </c>
      <c r="G561" s="15" t="inlineStr">
        <is>
          <t>Yes</t>
        </is>
      </c>
      <c r="H561" s="15" t="inlineStr">
        <is>
          <t>2026-03-01</t>
        </is>
      </c>
      <c r="I561" s="15" t="inlineStr"/>
      <c r="J561" s="15" t="inlineStr">
        <is>
          <t>leave_rule_set:2:parental_leave_shareable</t>
        </is>
      </c>
    </row>
    <row r="562">
      <c r="A562" s="14" t="inlineStr">
        <is>
          <t>Sectoral Determination 7: Domestic Worker Sector, published in Regulation Gazette No. 7434 (consolidated text)</t>
        </is>
      </c>
      <c r="B562" s="14" t="inlineStr">
        <is>
          <t>read with Basic Conditions of Employment Act 75 of 1997 ss 20-27</t>
        </is>
      </c>
      <c r="C562" s="15" t="inlineStr"/>
      <c r="D562" s="15" t="inlineStr">
        <is>
          <t>REF-2026.03.01-RULES-r4</t>
        </is>
      </c>
      <c r="E562" s="15" t="inlineStr">
        <is>
          <t>leave_rule_set</t>
        </is>
      </c>
      <c r="F562" s="14" t="inlineStr">
        <is>
          <t>Leave rules — DOMESTIC — parental leave total months</t>
        </is>
      </c>
      <c r="G562" s="15" t="inlineStr">
        <is>
          <t>4</t>
        </is>
      </c>
      <c r="H562" s="15" t="inlineStr">
        <is>
          <t>2026-03-01</t>
        </is>
      </c>
      <c r="I562" s="15" t="inlineStr"/>
      <c r="J562" s="15" t="inlineStr">
        <is>
          <t>leave_rule_set:2:parental_leave_total_months</t>
        </is>
      </c>
    </row>
    <row r="563">
      <c r="A563" s="14" t="inlineStr">
        <is>
          <t>Sectoral Determination 7: Domestic Worker Sector, published in Regulation Gazette No. 7434 (consolidated text)</t>
        </is>
      </c>
      <c r="B563" s="14" t="inlineStr">
        <is>
          <t>read with Basic Conditions of Employment Act 75 of 1997 ss 20-27</t>
        </is>
      </c>
      <c r="C563" s="15" t="inlineStr"/>
      <c r="D563" s="15" t="inlineStr">
        <is>
          <t>REF-2026.03.01-RULES-r4</t>
        </is>
      </c>
      <c r="E563" s="15" t="inlineStr">
        <is>
          <t>leave_rule_set</t>
        </is>
      </c>
      <c r="F563" s="14" t="inlineStr">
        <is>
          <t>Leave rules — DOMESTIC — sick leave cycle months</t>
        </is>
      </c>
      <c r="G563" s="15" t="inlineStr">
        <is>
          <t>36</t>
        </is>
      </c>
      <c r="H563" s="15" t="inlineStr">
        <is>
          <t>2026-03-01</t>
        </is>
      </c>
      <c r="I563" s="15" t="inlineStr"/>
      <c r="J563" s="15" t="inlineStr">
        <is>
          <t>leave_rule_set:2:sick_leave_cycle_months</t>
        </is>
      </c>
    </row>
    <row r="564">
      <c r="A564" s="14" t="inlineStr">
        <is>
          <t>Sectoral Determination 7: Domestic Worker Sector, published in Regulation Gazette No. 7434 (consolidated text)</t>
        </is>
      </c>
      <c r="B564" s="14" t="inlineStr">
        <is>
          <t>read with Basic Conditions of Employment Act 75 of 1997 ss 20-27</t>
        </is>
      </c>
      <c r="C564" s="15" t="inlineStr"/>
      <c r="D564" s="15" t="inlineStr">
        <is>
          <t>REF-2026.03.01-RULES-r4</t>
        </is>
      </c>
      <c r="E564" s="15" t="inlineStr">
        <is>
          <t>leave_rule_set</t>
        </is>
      </c>
      <c r="F564" s="14" t="inlineStr">
        <is>
          <t>Leave rules — DOMESTIC — sick leave first six months ratio</t>
        </is>
      </c>
      <c r="G564" s="15" t="inlineStr">
        <is>
          <t>26</t>
        </is>
      </c>
      <c r="H564" s="15" t="inlineStr">
        <is>
          <t>2026-03-01</t>
        </is>
      </c>
      <c r="I564" s="15" t="inlineStr"/>
      <c r="J564" s="15" t="inlineStr">
        <is>
          <t>leave_rule_set:2:sick_leave_first_six_months_ratio</t>
        </is>
      </c>
    </row>
    <row r="565">
      <c r="A565" s="14" t="inlineStr">
        <is>
          <t>Sectoral Determination 7: Domestic Worker Sector, published in Regulation Gazette No. 7434 (consolidated text)</t>
        </is>
      </c>
      <c r="B565" s="14" t="inlineStr">
        <is>
          <t>read with Basic Conditions of Employment Act 75 of 1997 ss 20-27</t>
        </is>
      </c>
      <c r="C565" s="15" t="inlineStr"/>
      <c r="D565" s="15" t="inlineStr">
        <is>
          <t>REF-2026.03.01-RULES-r4</t>
        </is>
      </c>
      <c r="E565" s="15" t="inlineStr">
        <is>
          <t>leave_rule_set</t>
        </is>
      </c>
      <c r="F565" s="14" t="inlineStr">
        <is>
          <t>Leave rules — DOMESTIC — sick leave payable on termination</t>
        </is>
      </c>
      <c r="G565" s="15" t="inlineStr">
        <is>
          <t>No</t>
        </is>
      </c>
      <c r="H565" s="15" t="inlineStr">
        <is>
          <t>2026-03-01</t>
        </is>
      </c>
      <c r="I565" s="15" t="inlineStr"/>
      <c r="J565" s="15" t="inlineStr">
        <is>
          <t>leave_rule_set:2:sick_leave_payable_on_termination</t>
        </is>
      </c>
    </row>
    <row r="566">
      <c r="A566" s="14" t="inlineStr">
        <is>
          <t>Sectoral Determination 7: Domestic Worker Sector, published in Regulation Gazette No. 7434 (consolidated text)</t>
        </is>
      </c>
      <c r="B566" s="14" t="inlineStr">
        <is>
          <t>read with Basic Conditions of Employment Act 75 of 1997 ss 20-27</t>
        </is>
      </c>
      <c r="C566" s="15" t="inlineStr"/>
      <c r="D566" s="15" t="inlineStr">
        <is>
          <t>REF-2026.03.01-RULES-r4</t>
        </is>
      </c>
      <c r="E566" s="15" t="inlineStr">
        <is>
          <t>leave_rule_set</t>
        </is>
      </c>
      <c r="F566" s="14" t="inlineStr">
        <is>
          <t>Leave rules — DOMESTIC — sick leave weeks equivalent</t>
        </is>
      </c>
      <c r="G566" s="15" t="inlineStr">
        <is>
          <t>6,00</t>
        </is>
      </c>
      <c r="H566" s="15" t="inlineStr">
        <is>
          <t>2026-03-01</t>
        </is>
      </c>
      <c r="I566" s="15" t="inlineStr"/>
      <c r="J566" s="15" t="inlineStr">
        <is>
          <t>leave_rule_set:2:sick_leave_weeks_equivalent</t>
        </is>
      </c>
    </row>
    <row r="567">
      <c r="A567" s="10" t="inlineStr">
        <is>
          <t>Skills Development Levies Act 9 of 1999</t>
        </is>
      </c>
      <c r="B567" s="10" t="inlineStr">
        <is>
          <t>s3(1)</t>
        </is>
      </c>
      <c r="C567" s="11" t="inlineStr"/>
      <c r="D567" s="11" t="inlineStr">
        <is>
          <t>REF-2026.03.01-r2</t>
        </is>
      </c>
      <c r="E567" s="11" t="inlineStr">
        <is>
          <t>statutory_parameter</t>
        </is>
      </c>
      <c r="F567" s="10" t="inlineStr">
        <is>
          <t>Statutory parameter SDL_RATE_PCT (all sectors) — unit</t>
        </is>
      </c>
      <c r="G567" s="11" t="inlineStr">
        <is>
          <t>Percent</t>
        </is>
      </c>
      <c r="H567" s="11" t="inlineStr">
        <is>
          <t>2026-03-01</t>
        </is>
      </c>
      <c r="I567" s="11" t="inlineStr"/>
      <c r="J567" s="11" t="inlineStr">
        <is>
          <t>statutory_parameter:4:unit</t>
        </is>
      </c>
      <c r="K567" s="13" t="n"/>
      <c r="L567" s="13" t="n"/>
      <c r="M567" s="13" t="n"/>
      <c r="N567" s="13" t="n"/>
    </row>
    <row r="568">
      <c r="A568" s="14" t="inlineStr">
        <is>
          <t>Skills Development Levies Act 9 of 1999</t>
        </is>
      </c>
      <c r="B568" s="14" t="inlineStr">
        <is>
          <t>s3(1)</t>
        </is>
      </c>
      <c r="C568" s="15" t="inlineStr"/>
      <c r="D568" s="15" t="inlineStr">
        <is>
          <t>REF-2026.03.01-r2</t>
        </is>
      </c>
      <c r="E568" s="15" t="inlineStr">
        <is>
          <t>statutory_parameter</t>
        </is>
      </c>
      <c r="F568" s="14" t="inlineStr">
        <is>
          <t>Statutory parameter SDL_RATE_PCT (all sectors) — value</t>
        </is>
      </c>
      <c r="G568" s="15" t="inlineStr">
        <is>
          <t>1,00 %</t>
        </is>
      </c>
      <c r="H568" s="15" t="inlineStr">
        <is>
          <t>2026-03-01</t>
        </is>
      </c>
      <c r="I568" s="15" t="inlineStr"/>
      <c r="J568" s="15" t="inlineStr">
        <is>
          <t>statutory_parameter:4:value_numeric</t>
        </is>
      </c>
    </row>
    <row r="569">
      <c r="A569" s="14" t="inlineStr">
        <is>
          <t>Skills Development Levies Act 9 of 1999</t>
        </is>
      </c>
      <c r="B569" s="14" t="inlineStr">
        <is>
          <t>s4(b)</t>
        </is>
      </c>
      <c r="C569" s="15" t="inlineStr"/>
      <c r="D569" s="15" t="inlineStr">
        <is>
          <t>REF-2026.03.01-r2</t>
        </is>
      </c>
      <c r="E569" s="15" t="inlineStr">
        <is>
          <t>statutory_parameter</t>
        </is>
      </c>
      <c r="F569" s="14" t="inlineStr">
        <is>
          <t>Statutory parameter SDL_ANNUAL_EXEMPTION (all sectors) — unit</t>
        </is>
      </c>
      <c r="G569" s="15" t="inlineStr">
        <is>
          <t>Rand</t>
        </is>
      </c>
      <c r="H569" s="15" t="inlineStr">
        <is>
          <t>2026-03-01</t>
        </is>
      </c>
      <c r="I569" s="15" t="inlineStr"/>
      <c r="J569" s="15" t="inlineStr">
        <is>
          <t>statutory_parameter:5:unit</t>
        </is>
      </c>
    </row>
    <row r="570">
      <c r="A570" s="14" t="inlineStr">
        <is>
          <t>Skills Development Levies Act 9 of 1999</t>
        </is>
      </c>
      <c r="B570" s="14" t="inlineStr">
        <is>
          <t>s4(b)</t>
        </is>
      </c>
      <c r="C570" s="15" t="inlineStr"/>
      <c r="D570" s="15" t="inlineStr">
        <is>
          <t>REF-2026.03.01-r2</t>
        </is>
      </c>
      <c r="E570" s="15" t="inlineStr">
        <is>
          <t>statutory_parameter</t>
        </is>
      </c>
      <c r="F570" s="14" t="inlineStr">
        <is>
          <t>Statutory parameter SDL_ANNUAL_EXEMPTION (all sectors) — value</t>
        </is>
      </c>
      <c r="G570" s="15" t="inlineStr">
        <is>
          <t>R 500 000,00</t>
        </is>
      </c>
      <c r="H570" s="15" t="inlineStr">
        <is>
          <t>2026-03-01</t>
        </is>
      </c>
      <c r="I570" s="15" t="inlineStr"/>
      <c r="J570" s="15" t="inlineStr">
        <is>
          <t>statutory_parameter:5:value_numeric</t>
        </is>
      </c>
    </row>
    <row r="571">
      <c r="A571" s="10" t="inlineStr">
        <is>
          <t>Unemployment Insurance Contributions Act 4 of 2002</t>
        </is>
      </c>
      <c r="B571" s="10" t="inlineStr">
        <is>
          <t>s6(1)(a)</t>
        </is>
      </c>
      <c r="C571" s="11" t="inlineStr"/>
      <c r="D571" s="11" t="inlineStr">
        <is>
          <t>REF-2026.03.01-r2</t>
        </is>
      </c>
      <c r="E571" s="11" t="inlineStr">
        <is>
          <t>statutory_parameter</t>
        </is>
      </c>
      <c r="F571" s="10" t="inlineStr">
        <is>
          <t>Statutory parameter UIF_EMPLOYEE_RATE_PCT (all sectors) — unit</t>
        </is>
      </c>
      <c r="G571" s="11" t="inlineStr">
        <is>
          <t>Percent</t>
        </is>
      </c>
      <c r="H571" s="11" t="inlineStr">
        <is>
          <t>2002-04-01</t>
        </is>
      </c>
      <c r="I571" s="11" t="inlineStr"/>
      <c r="J571" s="11" t="inlineStr">
        <is>
          <t>statutory_parameter:1:unit</t>
        </is>
      </c>
      <c r="K571" s="13" t="n"/>
      <c r="L571" s="13" t="n"/>
      <c r="M571" s="13" t="n"/>
      <c r="N571" s="13" t="n"/>
    </row>
    <row r="572">
      <c r="A572" s="14" t="inlineStr">
        <is>
          <t>Unemployment Insurance Contributions Act 4 of 2002</t>
        </is>
      </c>
      <c r="B572" s="14" t="inlineStr">
        <is>
          <t>s6(1)(a)</t>
        </is>
      </c>
      <c r="C572" s="15" t="inlineStr"/>
      <c r="D572" s="15" t="inlineStr">
        <is>
          <t>REF-2026.03.01-r2</t>
        </is>
      </c>
      <c r="E572" s="15" t="inlineStr">
        <is>
          <t>statutory_parameter</t>
        </is>
      </c>
      <c r="F572" s="14" t="inlineStr">
        <is>
          <t>Statutory parameter UIF_EMPLOYEE_RATE_PCT (all sectors) — value</t>
        </is>
      </c>
      <c r="G572" s="15" t="inlineStr">
        <is>
          <t>1,00 %</t>
        </is>
      </c>
      <c r="H572" s="15" t="inlineStr">
        <is>
          <t>2002-04-01</t>
        </is>
      </c>
      <c r="I572" s="15" t="inlineStr"/>
      <c r="J572" s="15" t="inlineStr">
        <is>
          <t>statutory_parameter:1:value_numeric</t>
        </is>
      </c>
    </row>
    <row r="573">
      <c r="A573" s="14" t="inlineStr">
        <is>
          <t>Unemployment Insurance Contributions Act 4 of 2002</t>
        </is>
      </c>
      <c r="B573" s="14" t="inlineStr">
        <is>
          <t>s6(1)(a)(ii)</t>
        </is>
      </c>
      <c r="C573" s="15" t="inlineStr"/>
      <c r="D573" s="15" t="inlineStr">
        <is>
          <t>REF-2026.03.01-r2</t>
        </is>
      </c>
      <c r="E573" s="15" t="inlineStr">
        <is>
          <t>statutory_parameter</t>
        </is>
      </c>
      <c r="F573" s="14" t="inlineStr">
        <is>
          <t>Statutory parameter UIF_EMPLOYER_RATE_PCT (all sectors) — unit</t>
        </is>
      </c>
      <c r="G573" s="15" t="inlineStr">
        <is>
          <t>Percent</t>
        </is>
      </c>
      <c r="H573" s="15" t="inlineStr">
        <is>
          <t>2002-04-01</t>
        </is>
      </c>
      <c r="I573" s="15" t="inlineStr"/>
      <c r="J573" s="15" t="inlineStr">
        <is>
          <t>statutory_parameter:2:unit</t>
        </is>
      </c>
    </row>
    <row r="574">
      <c r="A574" s="14" t="inlineStr">
        <is>
          <t>Unemployment Insurance Contributions Act 4 of 2002</t>
        </is>
      </c>
      <c r="B574" s="14" t="inlineStr">
        <is>
          <t>s6(1)(a)(ii)</t>
        </is>
      </c>
      <c r="C574" s="15" t="inlineStr"/>
      <c r="D574" s="15" t="inlineStr">
        <is>
          <t>REF-2026.03.01-r2</t>
        </is>
      </c>
      <c r="E574" s="15" t="inlineStr">
        <is>
          <t>statutory_parameter</t>
        </is>
      </c>
      <c r="F574" s="14" t="inlineStr">
        <is>
          <t>Statutory parameter UIF_EMPLOYER_RATE_PCT (all sectors) — value</t>
        </is>
      </c>
      <c r="G574" s="15" t="inlineStr">
        <is>
          <t>1,00 %</t>
        </is>
      </c>
      <c r="H574" s="15" t="inlineStr">
        <is>
          <t>2002-04-01</t>
        </is>
      </c>
      <c r="I574" s="15" t="inlineStr"/>
      <c r="J574" s="15" t="inlineStr">
        <is>
          <t>statutory_parameter:2:value_numeric</t>
        </is>
      </c>
    </row>
    <row r="575">
      <c r="A575" s="10" t="inlineStr">
        <is>
          <t>Value-Added Tax Act 89 of 1991</t>
        </is>
      </c>
      <c r="B575" s="10" t="inlineStr">
        <is>
          <t>s7(1)(a)</t>
        </is>
      </c>
      <c r="C575" s="11" t="inlineStr"/>
      <c r="D575" s="11" t="inlineStr">
        <is>
          <t>REF-2026.03.01-r2</t>
        </is>
      </c>
      <c r="E575" s="11" t="inlineStr">
        <is>
          <t>statutory_parameter</t>
        </is>
      </c>
      <c r="F575" s="10" t="inlineStr">
        <is>
          <t>Statutory parameter VAT_RATE_PCT (all sectors) — unit</t>
        </is>
      </c>
      <c r="G575" s="11" t="inlineStr">
        <is>
          <t>Percent</t>
        </is>
      </c>
      <c r="H575" s="11" t="inlineStr">
        <is>
          <t>2026-03-01</t>
        </is>
      </c>
      <c r="I575" s="11" t="inlineStr"/>
      <c r="J575" s="11" t="inlineStr">
        <is>
          <t>statutory_parameter:9:unit</t>
        </is>
      </c>
      <c r="K575" s="13" t="n"/>
      <c r="L575" s="13" t="n"/>
      <c r="M575" s="13" t="n"/>
      <c r="N575" s="13" t="n"/>
    </row>
    <row r="576">
      <c r="A576" s="14" t="inlineStr">
        <is>
          <t>Value-Added Tax Act 89 of 1991</t>
        </is>
      </c>
      <c r="B576" s="14" t="inlineStr">
        <is>
          <t>s7(1)(a)</t>
        </is>
      </c>
      <c r="C576" s="15" t="inlineStr"/>
      <c r="D576" s="15" t="inlineStr">
        <is>
          <t>REF-2026.03.01-r2</t>
        </is>
      </c>
      <c r="E576" s="15" t="inlineStr">
        <is>
          <t>statutory_parameter</t>
        </is>
      </c>
      <c r="F576" s="14" t="inlineStr">
        <is>
          <t>Statutory parameter VAT_RATE_PCT (all sectors) — value</t>
        </is>
      </c>
      <c r="G576" s="15" t="inlineStr">
        <is>
          <t>15,00 %</t>
        </is>
      </c>
      <c r="H576" s="15" t="inlineStr">
        <is>
          <t>2026-03-01</t>
        </is>
      </c>
      <c r="I576" s="15" t="inlineStr"/>
      <c r="J576" s="15" t="inlineStr">
        <is>
          <t>statutory_parameter:9:value_numeric</t>
        </is>
      </c>
    </row>
    <row r="577">
      <c r="A577" s="10" t="inlineStr">
        <is>
          <t>Van Wyk v Minister of Employment and Labour (CCT 308/23) [2025] ZACC 20 (3 October 2025)</t>
        </is>
      </c>
      <c r="B577" s="10" t="inlineStr">
        <is>
          <t>order para 5(a), reading in BCEA 75 of 1997 s25(1) and s25(4A)</t>
        </is>
      </c>
      <c r="C577" s="16" t="inlineStr">
        <is>
          <t>https://collections.concourt.org.za/handle/20.500.12144/38507</t>
        </is>
      </c>
      <c r="D577" s="11" t="inlineStr">
        <is>
          <t>REF-2026.03.01-PARENTAL-2</t>
        </is>
      </c>
      <c r="E577" s="11" t="inlineStr">
        <is>
          <t>parental_leave_quantum</t>
        </is>
      </c>
      <c r="F577" s="10" t="inlineStr">
        <is>
          <t>Parental leave quantum — both employed days</t>
        </is>
      </c>
      <c r="G577" s="11" t="inlineStr">
        <is>
          <t>10</t>
        </is>
      </c>
      <c r="H577" s="11" t="inlineStr">
        <is>
          <t>2025-10-03</t>
        </is>
      </c>
      <c r="I577" s="11" t="inlineStr">
        <is>
          <t>2028-10-03</t>
        </is>
      </c>
      <c r="J577" s="11" t="inlineStr">
        <is>
          <t>parental_leave_quantum:1:both_employed_days</t>
        </is>
      </c>
      <c r="K577" s="13" t="n"/>
      <c r="L577" s="13" t="n"/>
      <c r="M577" s="13" t="n"/>
      <c r="N577" s="13" t="n"/>
    </row>
    <row r="578">
      <c r="A578" s="14" t="inlineStr">
        <is>
          <t>Van Wyk v Minister of Employment and Labour (CCT 308/23) [2025] ZACC 20 (3 October 2025)</t>
        </is>
      </c>
      <c r="B578" s="14" t="inlineStr">
        <is>
          <t>order para 5(a), reading in BCEA 75 of 1997 s25(1) and s25(4A)</t>
        </is>
      </c>
      <c r="C578" s="17" t="inlineStr">
        <is>
          <t>https://collections.concourt.org.za/handle/20.500.12144/38507</t>
        </is>
      </c>
      <c r="D578" s="15" t="inlineStr">
        <is>
          <t>REF-2026.03.01-PARENTAL-2</t>
        </is>
      </c>
      <c r="E578" s="15" t="inlineStr">
        <is>
          <t>parental_leave_quantum</t>
        </is>
      </c>
      <c r="F578" s="14" t="inlineStr">
        <is>
          <t>Parental leave quantum — both employed months</t>
        </is>
      </c>
      <c r="G578" s="15" t="inlineStr">
        <is>
          <t>4</t>
        </is>
      </c>
      <c r="H578" s="15" t="inlineStr">
        <is>
          <t>2025-10-03</t>
        </is>
      </c>
      <c r="I578" s="15" t="inlineStr">
        <is>
          <t>2028-10-03</t>
        </is>
      </c>
      <c r="J578" s="15" t="inlineStr">
        <is>
          <t>parental_leave_quantum:1:both_employed_months</t>
        </is>
      </c>
    </row>
    <row r="579">
      <c r="A579" s="14" t="inlineStr">
        <is>
          <t>Van Wyk v Minister of Employment and Labour (CCT 308/23) [2025] ZACC 20 (3 October 2025)</t>
        </is>
      </c>
      <c r="B579" s="14" t="inlineStr">
        <is>
          <t>order para 5(a), reading in BCEA 75 of 1997 s25(1) and s25(4A)</t>
        </is>
      </c>
      <c r="C579" s="17" t="inlineStr">
        <is>
          <t>https://collections.concourt.org.za/handle/20.500.12144/38507</t>
        </is>
      </c>
      <c r="D579" s="15" t="inlineStr">
        <is>
          <t>REF-2026.03.01-PARENTAL-2</t>
        </is>
      </c>
      <c r="E579" s="15" t="inlineStr">
        <is>
          <t>parental_leave_quantum</t>
        </is>
      </c>
      <c r="F579" s="14" t="inlineStr">
        <is>
          <t>Parental leave quantum — sole parent days</t>
        </is>
      </c>
      <c r="G579" s="15" t="inlineStr">
        <is>
          <t>0</t>
        </is>
      </c>
      <c r="H579" s="15" t="inlineStr">
        <is>
          <t>2025-10-03</t>
        </is>
      </c>
      <c r="I579" s="15" t="inlineStr">
        <is>
          <t>2028-10-03</t>
        </is>
      </c>
      <c r="J579" s="15" t="inlineStr">
        <is>
          <t>parental_leave_quantum:1:sole_parent_days</t>
        </is>
      </c>
    </row>
    <row r="580">
      <c r="A580" s="14" t="inlineStr">
        <is>
          <t>Van Wyk v Minister of Employment and Labour (CCT 308/23) [2025] ZACC 20 (3 October 2025)</t>
        </is>
      </c>
      <c r="B580" s="14" t="inlineStr">
        <is>
          <t>order para 5(a), reading in BCEA 75 of 1997 s25(1) and s25(4A)</t>
        </is>
      </c>
      <c r="C580" s="17" t="inlineStr">
        <is>
          <t>https://collections.concourt.org.za/handle/20.500.12144/38507</t>
        </is>
      </c>
      <c r="D580" s="15" t="inlineStr">
        <is>
          <t>REF-2026.03.01-PARENTAL-2</t>
        </is>
      </c>
      <c r="E580" s="15" t="inlineStr">
        <is>
          <t>parental_leave_quantum</t>
        </is>
      </c>
      <c r="F580" s="14" t="inlineStr">
        <is>
          <t>Parental leave quantum — sole parent months</t>
        </is>
      </c>
      <c r="G580" s="15" t="inlineStr">
        <is>
          <t>4</t>
        </is>
      </c>
      <c r="H580" s="15" t="inlineStr">
        <is>
          <t>2025-10-03</t>
        </is>
      </c>
      <c r="I580" s="15" t="inlineStr">
        <is>
          <t>2028-10-03</t>
        </is>
      </c>
      <c r="J580" s="15" t="inlineStr">
        <is>
          <t>parental_leave_quantum:1:sole_parent_months</t>
        </is>
      </c>
    </row>
    <row r="581">
      <c r="A581" s="14" t="inlineStr">
        <is>
          <t>Van Wyk v Minister of Employment and Labour (CCT 308/23) [2025] ZACC 20 (3 October 2025)</t>
        </is>
      </c>
      <c r="B581" s="14" t="inlineStr">
        <is>
          <t>order paras 3, 4 and 5(c), reading in BCEA 75 of 1997 s25B(1)</t>
        </is>
      </c>
      <c r="C581" s="17" t="inlineStr">
        <is>
          <t>https://collections.concourt.org.za/handle/20.500.12144/38507</t>
        </is>
      </c>
      <c r="D581" s="15" t="inlineStr">
        <is>
          <t>REF-2026.03.01-PARENTAL-2</t>
        </is>
      </c>
      <c r="E581" s="15" t="inlineStr">
        <is>
          <t>adoption_age_limit</t>
        </is>
      </c>
      <c r="F581" s="14" t="inlineStr">
        <is>
          <t>Adoption age limit — is limited</t>
        </is>
      </c>
      <c r="G581" s="15" t="inlineStr">
        <is>
          <t>Yes</t>
        </is>
      </c>
      <c r="H581" s="15" t="inlineStr">
        <is>
          <t>2025-10-03</t>
        </is>
      </c>
      <c r="I581" s="15" t="inlineStr">
        <is>
          <t>2028-10-03</t>
        </is>
      </c>
      <c r="J581" s="15" t="inlineStr">
        <is>
          <t>adoption_age_limit:1:is_limited</t>
        </is>
      </c>
    </row>
    <row r="582">
      <c r="A582" s="14" t="inlineStr">
        <is>
          <t>Van Wyk v Minister of Employment and Labour (CCT 308/23) [2025] ZACC 20 (3 October 2025)</t>
        </is>
      </c>
      <c r="B582" s="14" t="inlineStr">
        <is>
          <t>order paras 3, 4 and 5(c), reading in BCEA 75 of 1997 s25B(1)</t>
        </is>
      </c>
      <c r="C582" s="17" t="inlineStr">
        <is>
          <t>https://collections.concourt.org.za/handle/20.500.12144/38507</t>
        </is>
      </c>
      <c r="D582" s="15" t="inlineStr">
        <is>
          <t>REF-2026.03.01-PARENTAL-2</t>
        </is>
      </c>
      <c r="E582" s="15" t="inlineStr">
        <is>
          <t>adoption_age_limit</t>
        </is>
      </c>
      <c r="F582" s="14" t="inlineStr">
        <is>
          <t>Adoption age limit — max child age years</t>
        </is>
      </c>
      <c r="G582" s="15" t="inlineStr">
        <is>
          <t>2</t>
        </is>
      </c>
      <c r="H582" s="15" t="inlineStr">
        <is>
          <t>2025-10-03</t>
        </is>
      </c>
      <c r="I582" s="15" t="inlineStr">
        <is>
          <t>2028-10-03</t>
        </is>
      </c>
      <c r="J582" s="15" t="inlineStr">
        <is>
          <t>adoption_age_limit:1:max_child_age_years</t>
        </is>
      </c>
    </row>
    <row r="583">
      <c r="A583" s="14" t="inlineStr">
        <is>
          <t>Van Wyk v Minister of Employment and Labour (CCT 308/23) [2025] ZACC 20 (3 October 2025)</t>
        </is>
      </c>
      <c r="B583" s="14" t="inlineStr">
        <is>
          <t>order paras 3, 4 and 5(c), reading in BCEA 75 of 1997 s25B(1)</t>
        </is>
      </c>
      <c r="C583" s="17" t="inlineStr">
        <is>
          <t>https://collections.concourt.org.za/handle/20.500.12144/38507</t>
        </is>
      </c>
      <c r="D583" s="15" t="inlineStr">
        <is>
          <t>REF-2026.03.01-PARENTAL-2</t>
        </is>
      </c>
      <c r="E583" s="15" t="inlineStr">
        <is>
          <t>adoption_age_limit</t>
        </is>
      </c>
      <c r="F583" s="14" t="inlineStr">
        <is>
          <t>Adoption age limit — is limited</t>
        </is>
      </c>
      <c r="G583" s="15" t="inlineStr">
        <is>
          <t>No</t>
        </is>
      </c>
      <c r="H583" s="15" t="inlineStr">
        <is>
          <t>2028-10-03</t>
        </is>
      </c>
      <c r="I583" s="15" t="inlineStr"/>
      <c r="J583" s="15" t="inlineStr">
        <is>
          <t>adoption_age_limit:2:is_limited</t>
        </is>
      </c>
    </row>
  </sheetData>
  <autoFilter ref="A1:N1"/>
  <conditionalFormatting sqref="A2:N583">
    <cfRule type="expression" priority="1" dxfId="0" stopIfTrue="0">
      <formula>$K2="Y"</formula>
    </cfRule>
    <cfRule type="expression" priority="2" dxfId="1" stopIfTrue="0">
      <formula>$K2="QUERY"</formula>
    </cfRule>
  </conditionalFormatting>
  <dataValidations count="1">
    <dataValidation sqref="K2:K583" showDropDown="0" showInputMessage="0" showErrorMessage="1" allowBlank="1" errorTitle="Y, N or QUERY" error="Y checked and correct, N not yet, QUERY something is wrong — say what in Note." type="list">
      <formula1>"Y,N,QUERY"</formula1>
    </dataValidation>
  </dataValidations>
  <hyperlinks>
    <hyperlink xmlns:r="http://schemas.openxmlformats.org/officeDocument/2006/relationships" ref="C25" r:id="rId1"/>
    <hyperlink xmlns:r="http://schemas.openxmlformats.org/officeDocument/2006/relationships" ref="C26" r:id="rId2"/>
    <hyperlink xmlns:r="http://schemas.openxmlformats.org/officeDocument/2006/relationships" ref="C27" r:id="rId3"/>
    <hyperlink xmlns:r="http://schemas.openxmlformats.org/officeDocument/2006/relationships" ref="C28" r:id="rId4"/>
    <hyperlink xmlns:r="http://schemas.openxmlformats.org/officeDocument/2006/relationships" ref="C29" r:id="rId5"/>
    <hyperlink xmlns:r="http://schemas.openxmlformats.org/officeDocument/2006/relationships" ref="C30" r:id="rId6"/>
    <hyperlink xmlns:r="http://schemas.openxmlformats.org/officeDocument/2006/relationships" ref="C31" r:id="rId7"/>
    <hyperlink xmlns:r="http://schemas.openxmlformats.org/officeDocument/2006/relationships" ref="C32" r:id="rId8"/>
    <hyperlink xmlns:r="http://schemas.openxmlformats.org/officeDocument/2006/relationships" ref="C33" r:id="rId9"/>
    <hyperlink xmlns:r="http://schemas.openxmlformats.org/officeDocument/2006/relationships" ref="C34" r:id="rId10"/>
    <hyperlink xmlns:r="http://schemas.openxmlformats.org/officeDocument/2006/relationships" ref="C35" r:id="rId11"/>
    <hyperlink xmlns:r="http://schemas.openxmlformats.org/officeDocument/2006/relationships" ref="C92" r:id="rId12"/>
    <hyperlink xmlns:r="http://schemas.openxmlformats.org/officeDocument/2006/relationships" ref="C93" r:id="rId13"/>
    <hyperlink xmlns:r="http://schemas.openxmlformats.org/officeDocument/2006/relationships" ref="C94" r:id="rId14"/>
    <hyperlink xmlns:r="http://schemas.openxmlformats.org/officeDocument/2006/relationships" ref="C95" r:id="rId15"/>
    <hyperlink xmlns:r="http://schemas.openxmlformats.org/officeDocument/2006/relationships" ref="C96" r:id="rId16"/>
    <hyperlink xmlns:r="http://schemas.openxmlformats.org/officeDocument/2006/relationships" ref="C97" r:id="rId17"/>
    <hyperlink xmlns:r="http://schemas.openxmlformats.org/officeDocument/2006/relationships" ref="C98" r:id="rId18"/>
    <hyperlink xmlns:r="http://schemas.openxmlformats.org/officeDocument/2006/relationships" ref="C99" r:id="rId19"/>
    <hyperlink xmlns:r="http://schemas.openxmlformats.org/officeDocument/2006/relationships" ref="C124" r:id="rId20"/>
    <hyperlink xmlns:r="http://schemas.openxmlformats.org/officeDocument/2006/relationships" ref="C125" r:id="rId21"/>
    <hyperlink xmlns:r="http://schemas.openxmlformats.org/officeDocument/2006/relationships" ref="C126" r:id="rId22"/>
    <hyperlink xmlns:r="http://schemas.openxmlformats.org/officeDocument/2006/relationships" ref="C127" r:id="rId23"/>
    <hyperlink xmlns:r="http://schemas.openxmlformats.org/officeDocument/2006/relationships" ref="C186" r:id="rId24"/>
    <hyperlink xmlns:r="http://schemas.openxmlformats.org/officeDocument/2006/relationships" ref="C187" r:id="rId25"/>
    <hyperlink xmlns:r="http://schemas.openxmlformats.org/officeDocument/2006/relationships" ref="C188" r:id="rId26"/>
    <hyperlink xmlns:r="http://schemas.openxmlformats.org/officeDocument/2006/relationships" ref="C189" r:id="rId27"/>
    <hyperlink xmlns:r="http://schemas.openxmlformats.org/officeDocument/2006/relationships" ref="C190" r:id="rId28"/>
    <hyperlink xmlns:r="http://schemas.openxmlformats.org/officeDocument/2006/relationships" ref="C191" r:id="rId29"/>
    <hyperlink xmlns:r="http://schemas.openxmlformats.org/officeDocument/2006/relationships" ref="C192" r:id="rId30"/>
    <hyperlink xmlns:r="http://schemas.openxmlformats.org/officeDocument/2006/relationships" ref="C193" r:id="rId31"/>
    <hyperlink xmlns:r="http://schemas.openxmlformats.org/officeDocument/2006/relationships" ref="C269" r:id="rId32"/>
    <hyperlink xmlns:r="http://schemas.openxmlformats.org/officeDocument/2006/relationships" ref="C270" r:id="rId33"/>
    <hyperlink xmlns:r="http://schemas.openxmlformats.org/officeDocument/2006/relationships" ref="C271" r:id="rId34"/>
    <hyperlink xmlns:r="http://schemas.openxmlformats.org/officeDocument/2006/relationships" ref="C272" r:id="rId35"/>
    <hyperlink xmlns:r="http://schemas.openxmlformats.org/officeDocument/2006/relationships" ref="C273" r:id="rId36"/>
    <hyperlink xmlns:r="http://schemas.openxmlformats.org/officeDocument/2006/relationships" ref="C274" r:id="rId37"/>
    <hyperlink xmlns:r="http://schemas.openxmlformats.org/officeDocument/2006/relationships" ref="C275" r:id="rId38"/>
    <hyperlink xmlns:r="http://schemas.openxmlformats.org/officeDocument/2006/relationships" ref="C276" r:id="rId39"/>
    <hyperlink xmlns:r="http://schemas.openxmlformats.org/officeDocument/2006/relationships" ref="C277" r:id="rId40"/>
    <hyperlink xmlns:r="http://schemas.openxmlformats.org/officeDocument/2006/relationships" ref="C278" r:id="rId41"/>
    <hyperlink xmlns:r="http://schemas.openxmlformats.org/officeDocument/2006/relationships" ref="C279" r:id="rId42"/>
    <hyperlink xmlns:r="http://schemas.openxmlformats.org/officeDocument/2006/relationships" ref="C280" r:id="rId43"/>
    <hyperlink xmlns:r="http://schemas.openxmlformats.org/officeDocument/2006/relationships" ref="C281" r:id="rId44"/>
    <hyperlink xmlns:r="http://schemas.openxmlformats.org/officeDocument/2006/relationships" ref="C282" r:id="rId45"/>
    <hyperlink xmlns:r="http://schemas.openxmlformats.org/officeDocument/2006/relationships" ref="C283" r:id="rId46"/>
    <hyperlink xmlns:r="http://schemas.openxmlformats.org/officeDocument/2006/relationships" ref="C284" r:id="rId47"/>
    <hyperlink xmlns:r="http://schemas.openxmlformats.org/officeDocument/2006/relationships" ref="C285" r:id="rId48"/>
    <hyperlink xmlns:r="http://schemas.openxmlformats.org/officeDocument/2006/relationships" ref="C286" r:id="rId49"/>
    <hyperlink xmlns:r="http://schemas.openxmlformats.org/officeDocument/2006/relationships" ref="C287" r:id="rId50"/>
    <hyperlink xmlns:r="http://schemas.openxmlformats.org/officeDocument/2006/relationships" ref="C288" r:id="rId51"/>
    <hyperlink xmlns:r="http://schemas.openxmlformats.org/officeDocument/2006/relationships" ref="C289" r:id="rId52"/>
    <hyperlink xmlns:r="http://schemas.openxmlformats.org/officeDocument/2006/relationships" ref="C290" r:id="rId53"/>
    <hyperlink xmlns:r="http://schemas.openxmlformats.org/officeDocument/2006/relationships" ref="C291" r:id="rId54"/>
    <hyperlink xmlns:r="http://schemas.openxmlformats.org/officeDocument/2006/relationships" ref="C292" r:id="rId55"/>
    <hyperlink xmlns:r="http://schemas.openxmlformats.org/officeDocument/2006/relationships" ref="C293" r:id="rId56"/>
    <hyperlink xmlns:r="http://schemas.openxmlformats.org/officeDocument/2006/relationships" ref="C294" r:id="rId57"/>
    <hyperlink xmlns:r="http://schemas.openxmlformats.org/officeDocument/2006/relationships" ref="C295" r:id="rId58"/>
    <hyperlink xmlns:r="http://schemas.openxmlformats.org/officeDocument/2006/relationships" ref="C296" r:id="rId59"/>
    <hyperlink xmlns:r="http://schemas.openxmlformats.org/officeDocument/2006/relationships" ref="C297" r:id="rId60"/>
    <hyperlink xmlns:r="http://schemas.openxmlformats.org/officeDocument/2006/relationships" ref="C298" r:id="rId61"/>
    <hyperlink xmlns:r="http://schemas.openxmlformats.org/officeDocument/2006/relationships" ref="C299" r:id="rId62"/>
    <hyperlink xmlns:r="http://schemas.openxmlformats.org/officeDocument/2006/relationships" ref="C300" r:id="rId63"/>
    <hyperlink xmlns:r="http://schemas.openxmlformats.org/officeDocument/2006/relationships" ref="C301" r:id="rId64"/>
    <hyperlink xmlns:r="http://schemas.openxmlformats.org/officeDocument/2006/relationships" ref="C302" r:id="rId65"/>
    <hyperlink xmlns:r="http://schemas.openxmlformats.org/officeDocument/2006/relationships" ref="C303" r:id="rId66"/>
    <hyperlink xmlns:r="http://schemas.openxmlformats.org/officeDocument/2006/relationships" ref="C304" r:id="rId67"/>
    <hyperlink xmlns:r="http://schemas.openxmlformats.org/officeDocument/2006/relationships" ref="C305" r:id="rId68"/>
    <hyperlink xmlns:r="http://schemas.openxmlformats.org/officeDocument/2006/relationships" ref="C306" r:id="rId69"/>
    <hyperlink xmlns:r="http://schemas.openxmlformats.org/officeDocument/2006/relationships" ref="C307" r:id="rId70"/>
    <hyperlink xmlns:r="http://schemas.openxmlformats.org/officeDocument/2006/relationships" ref="C308" r:id="rId71"/>
    <hyperlink xmlns:r="http://schemas.openxmlformats.org/officeDocument/2006/relationships" ref="C309" r:id="rId72"/>
    <hyperlink xmlns:r="http://schemas.openxmlformats.org/officeDocument/2006/relationships" ref="C310" r:id="rId73"/>
    <hyperlink xmlns:r="http://schemas.openxmlformats.org/officeDocument/2006/relationships" ref="C311" r:id="rId74"/>
    <hyperlink xmlns:r="http://schemas.openxmlformats.org/officeDocument/2006/relationships" ref="C312" r:id="rId75"/>
    <hyperlink xmlns:r="http://schemas.openxmlformats.org/officeDocument/2006/relationships" ref="C313" r:id="rId76"/>
    <hyperlink xmlns:r="http://schemas.openxmlformats.org/officeDocument/2006/relationships" ref="C314" r:id="rId77"/>
    <hyperlink xmlns:r="http://schemas.openxmlformats.org/officeDocument/2006/relationships" ref="C315" r:id="rId78"/>
    <hyperlink xmlns:r="http://schemas.openxmlformats.org/officeDocument/2006/relationships" ref="C316" r:id="rId79"/>
    <hyperlink xmlns:r="http://schemas.openxmlformats.org/officeDocument/2006/relationships" ref="C317" r:id="rId80"/>
    <hyperlink xmlns:r="http://schemas.openxmlformats.org/officeDocument/2006/relationships" ref="C318" r:id="rId81"/>
    <hyperlink xmlns:r="http://schemas.openxmlformats.org/officeDocument/2006/relationships" ref="C319" r:id="rId82"/>
    <hyperlink xmlns:r="http://schemas.openxmlformats.org/officeDocument/2006/relationships" ref="C320" r:id="rId83"/>
    <hyperlink xmlns:r="http://schemas.openxmlformats.org/officeDocument/2006/relationships" ref="C321" r:id="rId84"/>
    <hyperlink xmlns:r="http://schemas.openxmlformats.org/officeDocument/2006/relationships" ref="C322" r:id="rId85"/>
    <hyperlink xmlns:r="http://schemas.openxmlformats.org/officeDocument/2006/relationships" ref="C323" r:id="rId86"/>
    <hyperlink xmlns:r="http://schemas.openxmlformats.org/officeDocument/2006/relationships" ref="C324" r:id="rId87"/>
    <hyperlink xmlns:r="http://schemas.openxmlformats.org/officeDocument/2006/relationships" ref="C325" r:id="rId88"/>
    <hyperlink xmlns:r="http://schemas.openxmlformats.org/officeDocument/2006/relationships" ref="C326" r:id="rId89"/>
    <hyperlink xmlns:r="http://schemas.openxmlformats.org/officeDocument/2006/relationships" ref="C327" r:id="rId90"/>
    <hyperlink xmlns:r="http://schemas.openxmlformats.org/officeDocument/2006/relationships" ref="C328" r:id="rId91"/>
    <hyperlink xmlns:r="http://schemas.openxmlformats.org/officeDocument/2006/relationships" ref="C329" r:id="rId92"/>
    <hyperlink xmlns:r="http://schemas.openxmlformats.org/officeDocument/2006/relationships" ref="C330" r:id="rId93"/>
    <hyperlink xmlns:r="http://schemas.openxmlformats.org/officeDocument/2006/relationships" ref="C331" r:id="rId94"/>
    <hyperlink xmlns:r="http://schemas.openxmlformats.org/officeDocument/2006/relationships" ref="C332" r:id="rId95"/>
    <hyperlink xmlns:r="http://schemas.openxmlformats.org/officeDocument/2006/relationships" ref="C333" r:id="rId96"/>
    <hyperlink xmlns:r="http://schemas.openxmlformats.org/officeDocument/2006/relationships" ref="C334" r:id="rId97"/>
    <hyperlink xmlns:r="http://schemas.openxmlformats.org/officeDocument/2006/relationships" ref="C335" r:id="rId98"/>
    <hyperlink xmlns:r="http://schemas.openxmlformats.org/officeDocument/2006/relationships" ref="C336" r:id="rId99"/>
    <hyperlink xmlns:r="http://schemas.openxmlformats.org/officeDocument/2006/relationships" ref="C337" r:id="rId100"/>
    <hyperlink xmlns:r="http://schemas.openxmlformats.org/officeDocument/2006/relationships" ref="C338" r:id="rId101"/>
    <hyperlink xmlns:r="http://schemas.openxmlformats.org/officeDocument/2006/relationships" ref="C339" r:id="rId102"/>
    <hyperlink xmlns:r="http://schemas.openxmlformats.org/officeDocument/2006/relationships" ref="C340" r:id="rId103"/>
    <hyperlink xmlns:r="http://schemas.openxmlformats.org/officeDocument/2006/relationships" ref="C341" r:id="rId104"/>
    <hyperlink xmlns:r="http://schemas.openxmlformats.org/officeDocument/2006/relationships" ref="C342" r:id="rId105"/>
    <hyperlink xmlns:r="http://schemas.openxmlformats.org/officeDocument/2006/relationships" ref="C343" r:id="rId106"/>
    <hyperlink xmlns:r="http://schemas.openxmlformats.org/officeDocument/2006/relationships" ref="C344" r:id="rId107"/>
    <hyperlink xmlns:r="http://schemas.openxmlformats.org/officeDocument/2006/relationships" ref="C345" r:id="rId108"/>
    <hyperlink xmlns:r="http://schemas.openxmlformats.org/officeDocument/2006/relationships" ref="C346" r:id="rId109"/>
    <hyperlink xmlns:r="http://schemas.openxmlformats.org/officeDocument/2006/relationships" ref="C347" r:id="rId110"/>
    <hyperlink xmlns:r="http://schemas.openxmlformats.org/officeDocument/2006/relationships" ref="C348" r:id="rId111"/>
    <hyperlink xmlns:r="http://schemas.openxmlformats.org/officeDocument/2006/relationships" ref="C349" r:id="rId112"/>
    <hyperlink xmlns:r="http://schemas.openxmlformats.org/officeDocument/2006/relationships" ref="C350" r:id="rId113"/>
    <hyperlink xmlns:r="http://schemas.openxmlformats.org/officeDocument/2006/relationships" ref="C351" r:id="rId114"/>
    <hyperlink xmlns:r="http://schemas.openxmlformats.org/officeDocument/2006/relationships" ref="C352" r:id="rId115"/>
    <hyperlink xmlns:r="http://schemas.openxmlformats.org/officeDocument/2006/relationships" ref="C353" r:id="rId116"/>
    <hyperlink xmlns:r="http://schemas.openxmlformats.org/officeDocument/2006/relationships" ref="C354" r:id="rId117"/>
    <hyperlink xmlns:r="http://schemas.openxmlformats.org/officeDocument/2006/relationships" ref="C355" r:id="rId118"/>
    <hyperlink xmlns:r="http://schemas.openxmlformats.org/officeDocument/2006/relationships" ref="C356" r:id="rId119"/>
    <hyperlink xmlns:r="http://schemas.openxmlformats.org/officeDocument/2006/relationships" ref="C357" r:id="rId120"/>
    <hyperlink xmlns:r="http://schemas.openxmlformats.org/officeDocument/2006/relationships" ref="C358" r:id="rId121"/>
    <hyperlink xmlns:r="http://schemas.openxmlformats.org/officeDocument/2006/relationships" ref="C359" r:id="rId122"/>
    <hyperlink xmlns:r="http://schemas.openxmlformats.org/officeDocument/2006/relationships" ref="C360" r:id="rId123"/>
    <hyperlink xmlns:r="http://schemas.openxmlformats.org/officeDocument/2006/relationships" ref="C361" r:id="rId124"/>
    <hyperlink xmlns:r="http://schemas.openxmlformats.org/officeDocument/2006/relationships" ref="C362" r:id="rId125"/>
    <hyperlink xmlns:r="http://schemas.openxmlformats.org/officeDocument/2006/relationships" ref="C363" r:id="rId126"/>
    <hyperlink xmlns:r="http://schemas.openxmlformats.org/officeDocument/2006/relationships" ref="C364" r:id="rId127"/>
    <hyperlink xmlns:r="http://schemas.openxmlformats.org/officeDocument/2006/relationships" ref="C365" r:id="rId128"/>
    <hyperlink xmlns:r="http://schemas.openxmlformats.org/officeDocument/2006/relationships" ref="C366" r:id="rId129"/>
    <hyperlink xmlns:r="http://schemas.openxmlformats.org/officeDocument/2006/relationships" ref="C367" r:id="rId130"/>
    <hyperlink xmlns:r="http://schemas.openxmlformats.org/officeDocument/2006/relationships" ref="C368" r:id="rId131"/>
    <hyperlink xmlns:r="http://schemas.openxmlformats.org/officeDocument/2006/relationships" ref="C369" r:id="rId132"/>
    <hyperlink xmlns:r="http://schemas.openxmlformats.org/officeDocument/2006/relationships" ref="C370" r:id="rId133"/>
    <hyperlink xmlns:r="http://schemas.openxmlformats.org/officeDocument/2006/relationships" ref="C371" r:id="rId134"/>
    <hyperlink xmlns:r="http://schemas.openxmlformats.org/officeDocument/2006/relationships" ref="C372" r:id="rId135"/>
    <hyperlink xmlns:r="http://schemas.openxmlformats.org/officeDocument/2006/relationships" ref="C373" r:id="rId136"/>
    <hyperlink xmlns:r="http://schemas.openxmlformats.org/officeDocument/2006/relationships" ref="C374" r:id="rId137"/>
    <hyperlink xmlns:r="http://schemas.openxmlformats.org/officeDocument/2006/relationships" ref="C375" r:id="rId138"/>
    <hyperlink xmlns:r="http://schemas.openxmlformats.org/officeDocument/2006/relationships" ref="C376" r:id="rId139"/>
    <hyperlink xmlns:r="http://schemas.openxmlformats.org/officeDocument/2006/relationships" ref="C377" r:id="rId140"/>
    <hyperlink xmlns:r="http://schemas.openxmlformats.org/officeDocument/2006/relationships" ref="C378" r:id="rId141"/>
    <hyperlink xmlns:r="http://schemas.openxmlformats.org/officeDocument/2006/relationships" ref="C379" r:id="rId142"/>
    <hyperlink xmlns:r="http://schemas.openxmlformats.org/officeDocument/2006/relationships" ref="C380" r:id="rId143"/>
    <hyperlink xmlns:r="http://schemas.openxmlformats.org/officeDocument/2006/relationships" ref="C381" r:id="rId144"/>
    <hyperlink xmlns:r="http://schemas.openxmlformats.org/officeDocument/2006/relationships" ref="C382" r:id="rId145"/>
    <hyperlink xmlns:r="http://schemas.openxmlformats.org/officeDocument/2006/relationships" ref="C383" r:id="rId146"/>
    <hyperlink xmlns:r="http://schemas.openxmlformats.org/officeDocument/2006/relationships" ref="C384" r:id="rId147"/>
    <hyperlink xmlns:r="http://schemas.openxmlformats.org/officeDocument/2006/relationships" ref="C385" r:id="rId148"/>
    <hyperlink xmlns:r="http://schemas.openxmlformats.org/officeDocument/2006/relationships" ref="C386" r:id="rId149"/>
    <hyperlink xmlns:r="http://schemas.openxmlformats.org/officeDocument/2006/relationships" ref="C387" r:id="rId150"/>
    <hyperlink xmlns:r="http://schemas.openxmlformats.org/officeDocument/2006/relationships" ref="C388" r:id="rId151"/>
    <hyperlink xmlns:r="http://schemas.openxmlformats.org/officeDocument/2006/relationships" ref="C389" r:id="rId152"/>
    <hyperlink xmlns:r="http://schemas.openxmlformats.org/officeDocument/2006/relationships" ref="C390" r:id="rId153"/>
    <hyperlink xmlns:r="http://schemas.openxmlformats.org/officeDocument/2006/relationships" ref="C391" r:id="rId154"/>
    <hyperlink xmlns:r="http://schemas.openxmlformats.org/officeDocument/2006/relationships" ref="C392" r:id="rId155"/>
    <hyperlink xmlns:r="http://schemas.openxmlformats.org/officeDocument/2006/relationships" ref="C393" r:id="rId156"/>
    <hyperlink xmlns:r="http://schemas.openxmlformats.org/officeDocument/2006/relationships" ref="C394" r:id="rId157"/>
    <hyperlink xmlns:r="http://schemas.openxmlformats.org/officeDocument/2006/relationships" ref="C395" r:id="rId158"/>
    <hyperlink xmlns:r="http://schemas.openxmlformats.org/officeDocument/2006/relationships" ref="C396" r:id="rId159"/>
    <hyperlink xmlns:r="http://schemas.openxmlformats.org/officeDocument/2006/relationships" ref="C397" r:id="rId160"/>
    <hyperlink xmlns:r="http://schemas.openxmlformats.org/officeDocument/2006/relationships" ref="C398" r:id="rId161"/>
    <hyperlink xmlns:r="http://schemas.openxmlformats.org/officeDocument/2006/relationships" ref="C399" r:id="rId162"/>
    <hyperlink xmlns:r="http://schemas.openxmlformats.org/officeDocument/2006/relationships" ref="C400" r:id="rId163"/>
    <hyperlink xmlns:r="http://schemas.openxmlformats.org/officeDocument/2006/relationships" ref="C401" r:id="rId164"/>
    <hyperlink xmlns:r="http://schemas.openxmlformats.org/officeDocument/2006/relationships" ref="C402" r:id="rId165"/>
    <hyperlink xmlns:r="http://schemas.openxmlformats.org/officeDocument/2006/relationships" ref="C403" r:id="rId166"/>
    <hyperlink xmlns:r="http://schemas.openxmlformats.org/officeDocument/2006/relationships" ref="C404" r:id="rId167"/>
    <hyperlink xmlns:r="http://schemas.openxmlformats.org/officeDocument/2006/relationships" ref="C405" r:id="rId168"/>
    <hyperlink xmlns:r="http://schemas.openxmlformats.org/officeDocument/2006/relationships" ref="C406" r:id="rId169"/>
    <hyperlink xmlns:r="http://schemas.openxmlformats.org/officeDocument/2006/relationships" ref="C407" r:id="rId170"/>
    <hyperlink xmlns:r="http://schemas.openxmlformats.org/officeDocument/2006/relationships" ref="C408" r:id="rId171"/>
    <hyperlink xmlns:r="http://schemas.openxmlformats.org/officeDocument/2006/relationships" ref="C409" r:id="rId172"/>
    <hyperlink xmlns:r="http://schemas.openxmlformats.org/officeDocument/2006/relationships" ref="C410" r:id="rId173"/>
    <hyperlink xmlns:r="http://schemas.openxmlformats.org/officeDocument/2006/relationships" ref="C411" r:id="rId174"/>
    <hyperlink xmlns:r="http://schemas.openxmlformats.org/officeDocument/2006/relationships" ref="C412" r:id="rId175"/>
    <hyperlink xmlns:r="http://schemas.openxmlformats.org/officeDocument/2006/relationships" ref="C413" r:id="rId176"/>
    <hyperlink xmlns:r="http://schemas.openxmlformats.org/officeDocument/2006/relationships" ref="C414" r:id="rId177"/>
    <hyperlink xmlns:r="http://schemas.openxmlformats.org/officeDocument/2006/relationships" ref="C415" r:id="rId178"/>
    <hyperlink xmlns:r="http://schemas.openxmlformats.org/officeDocument/2006/relationships" ref="C416" r:id="rId179"/>
    <hyperlink xmlns:r="http://schemas.openxmlformats.org/officeDocument/2006/relationships" ref="C417" r:id="rId180"/>
    <hyperlink xmlns:r="http://schemas.openxmlformats.org/officeDocument/2006/relationships" ref="C418" r:id="rId181"/>
    <hyperlink xmlns:r="http://schemas.openxmlformats.org/officeDocument/2006/relationships" ref="C419" r:id="rId182"/>
    <hyperlink xmlns:r="http://schemas.openxmlformats.org/officeDocument/2006/relationships" ref="C420" r:id="rId183"/>
    <hyperlink xmlns:r="http://schemas.openxmlformats.org/officeDocument/2006/relationships" ref="C421" r:id="rId184"/>
    <hyperlink xmlns:r="http://schemas.openxmlformats.org/officeDocument/2006/relationships" ref="C422" r:id="rId185"/>
    <hyperlink xmlns:r="http://schemas.openxmlformats.org/officeDocument/2006/relationships" ref="C423" r:id="rId186"/>
    <hyperlink xmlns:r="http://schemas.openxmlformats.org/officeDocument/2006/relationships" ref="C424" r:id="rId187"/>
    <hyperlink xmlns:r="http://schemas.openxmlformats.org/officeDocument/2006/relationships" ref="C425" r:id="rId188"/>
    <hyperlink xmlns:r="http://schemas.openxmlformats.org/officeDocument/2006/relationships" ref="C426" r:id="rId189"/>
    <hyperlink xmlns:r="http://schemas.openxmlformats.org/officeDocument/2006/relationships" ref="C427" r:id="rId190"/>
    <hyperlink xmlns:r="http://schemas.openxmlformats.org/officeDocument/2006/relationships" ref="C428" r:id="rId191"/>
    <hyperlink xmlns:r="http://schemas.openxmlformats.org/officeDocument/2006/relationships" ref="C429" r:id="rId192"/>
    <hyperlink xmlns:r="http://schemas.openxmlformats.org/officeDocument/2006/relationships" ref="C430" r:id="rId193"/>
    <hyperlink xmlns:r="http://schemas.openxmlformats.org/officeDocument/2006/relationships" ref="C431" r:id="rId194"/>
    <hyperlink xmlns:r="http://schemas.openxmlformats.org/officeDocument/2006/relationships" ref="C432" r:id="rId195"/>
    <hyperlink xmlns:r="http://schemas.openxmlformats.org/officeDocument/2006/relationships" ref="C433" r:id="rId196"/>
    <hyperlink xmlns:r="http://schemas.openxmlformats.org/officeDocument/2006/relationships" ref="C577" r:id="rId197"/>
    <hyperlink xmlns:r="http://schemas.openxmlformats.org/officeDocument/2006/relationships" ref="C578" r:id="rId198"/>
    <hyperlink xmlns:r="http://schemas.openxmlformats.org/officeDocument/2006/relationships" ref="C579" r:id="rId199"/>
    <hyperlink xmlns:r="http://schemas.openxmlformats.org/officeDocument/2006/relationships" ref="C580" r:id="rId200"/>
    <hyperlink xmlns:r="http://schemas.openxmlformats.org/officeDocument/2006/relationships" ref="C581" r:id="rId201"/>
    <hyperlink xmlns:r="http://schemas.openxmlformats.org/officeDocument/2006/relationships" ref="C582" r:id="rId202"/>
    <hyperlink xmlns:r="http://schemas.openxmlformats.org/officeDocument/2006/relationships" ref="C583" r:id="rId20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2026-09-19T20:09:23Z</dcterms:created>
  <dcterms:modified xsi:type="dcterms:W3CDTF">2026-09-19T20:09:23Z</dcterms:modified>
</cp:coreProperties>
</file>