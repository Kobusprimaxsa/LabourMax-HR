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riority" sheetId="2" state="visible" r:id="rId2"/>
    <sheet name="Rates and parameters" sheetId="3" state="visible" r:id="rId3"/>
    <sheet name="Rule sets" sheetId="4" state="visible" r:id="rId4"/>
    <sheet name="SARS source codes" sheetId="5" state="visible" r:id="rId5"/>
    <sheet name="Public holidays" sheetId="6" state="visible" r:id="rId6"/>
    <sheet name="Banks" sheetId="7" state="visible" r:id="rId7"/>
    <sheet name="Watch calendar" sheetId="8" state="visible" r:id="rId8"/>
    <sheet name="Versions loaded"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color rgb="001F3864"/>
      <sz val="16"/>
    </font>
    <font>
      <name val="Arial"/>
      <color rgb="00000000"/>
      <sz val="11"/>
    </font>
    <font>
      <name val="Arial"/>
      <b val="1"/>
      <color rgb="001F3864"/>
      <sz val="11"/>
    </font>
    <font>
      <name val="Arial"/>
      <b val="1"/>
      <color rgb="001F3864"/>
      <sz val="12"/>
    </font>
    <font>
      <name val="Arial"/>
      <b val="1"/>
      <sz val="10"/>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5" fillId="0" borderId="0" pivotButton="0" quotePrefix="0" xfId="0"/>
    <xf numFmtId="0" fontId="6" fillId="0" borderId="0" pivotButton="0" quotePrefix="0" xfId="0"/>
    <xf numFmtId="0" fontId="8" fillId="0" borderId="0" pivotButton="0" quotePrefix="0" xfId="0"/>
    <xf numFmtId="0" fontId="4" fillId="0" borderId="0" pivotButton="0" quotePrefix="0" xfId="0"/>
    <xf numFmtId="0" fontId="9" fillId="3" borderId="0" pivotButton="0" quotePrefix="0" xfId="0"/>
    <xf numFmtId="0" fontId="7" fillId="0" borderId="0" pivotButton="0" quotePrefix="0" xfId="0"/>
    <xf numFmtId="0" fontId="1" fillId="0" borderId="0" pivotButton="0" quotePrefix="0" xfId="0"/>
    <xf numFmtId="0" fontId="2" fillId="0" borderId="0" applyAlignment="1" pivotButton="0" quotePrefix="0" xfId="0">
      <alignment/>
    </xf>
    <xf numFmtId="0" fontId="3" fillId="2" borderId="1" applyAlignment="1" pivotButton="0" quotePrefix="0" xfId="0">
      <alignment vertical="center" wrapText="1"/>
    </xf>
    <xf numFmtId="0" fontId="4" fillId="5" borderId="1" applyAlignment="1" pivotButton="0" quotePrefix="0" xfId="0">
      <alignment vertical="top"/>
    </xf>
    <xf numFmtId="0" fontId="4" fillId="5" borderId="1" applyAlignment="1" pivotButton="0" quotePrefix="0" xfId="0">
      <alignment vertical="top" wrapText="1"/>
    </xf>
    <xf numFmtId="0" fontId="4" fillId="3"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3" borderId="1" applyAlignment="1" pivotButton="0" quotePrefix="0" xfId="0">
      <alignment vertical="top"/>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10" customWidth="1" min="1" max="1"/>
    <col width="26" customWidth="1" min="3" max="3"/>
    <col width="22" customWidth="1" min="4" max="4"/>
  </cols>
  <sheetData>
    <row r="1">
      <c r="A1" s="1" t="inlineStr">
        <is>
          <t>Labourmax-HR — statutory data verification</t>
        </is>
      </c>
    </row>
    <row r="2">
      <c r="A2" s="2" t="inlineStr"/>
      <c r="C2" s="3" t="inlineStr">
        <is>
          <t>Progress</t>
        </is>
      </c>
    </row>
    <row r="3">
      <c r="A3" s="2" t="inlineStr">
        <is>
          <t>Generated 13 September 2026 from the loaded reference data. Regenerate with: python tools/build_verification_workbook.py</t>
        </is>
      </c>
      <c r="C3" s="4" t="inlineStr">
        <is>
          <t>Priority</t>
        </is>
      </c>
      <c r="D3" s="5">
        <f>COUNTA('Priority'!G5:G2000)&amp;" of "&amp;COUNTA('Priority'!A5:A2000)&amp;" checked"</f>
        <v/>
      </c>
    </row>
    <row r="4">
      <c r="A4" s="2" t="inlineStr"/>
      <c r="C4" s="4" t="inlineStr">
        <is>
          <t>Rates and parameters</t>
        </is>
      </c>
      <c r="D4" s="5">
        <f>COUNTA('Rates and parameters'!G5:G2000)&amp;" of "&amp;COUNTA('Rates and parameters'!A5:A2000)&amp;" checked"</f>
        <v/>
      </c>
    </row>
    <row r="5">
      <c r="A5" s="2" t="inlineStr">
        <is>
          <t>Every figure the system will use is listed here with the source it was taken from. Nothing is verified until you say so, and nothing unverified is in force — every payroll run is blocked until it is. That is deliberate.</t>
        </is>
      </c>
      <c r="C5" s="4" t="inlineStr">
        <is>
          <t>Rule sets</t>
        </is>
      </c>
      <c r="D5" s="5">
        <f>COUNTA('Rule sets'!G5:G2000)&amp;" of "&amp;COUNTA('Rule sets'!A5:A2000)&amp;" checked"</f>
        <v/>
      </c>
    </row>
    <row r="6">
      <c r="A6" s="2" t="inlineStr"/>
      <c r="C6" s="4" t="inlineStr">
        <is>
          <t>SARS source codes</t>
        </is>
      </c>
      <c r="D6" s="5">
        <f>COUNTA('SARS source codes'!G5:G2000)&amp;" of "&amp;COUNTA('SARS source codes'!A5:A2000)&amp;" checked"</f>
        <v/>
      </c>
    </row>
    <row r="7">
      <c r="A7" s="6" t="inlineStr">
        <is>
          <t>HOW TO WORK THROUGH IT</t>
        </is>
      </c>
      <c r="C7" s="4" t="inlineStr">
        <is>
          <t>Public holidays</t>
        </is>
      </c>
      <c r="D7" s="5">
        <f>COUNTA('Public holidays'!E5:E2000)&amp;" of "&amp;COUNTA('Public holidays'!A5:A2000)&amp;" checked"</f>
        <v/>
      </c>
    </row>
    <row r="8">
      <c r="A8" s="2" t="inlineStr"/>
      <c r="C8" s="4" t="inlineStr">
        <is>
          <t>Banks</t>
        </is>
      </c>
      <c r="D8" s="5">
        <f>COUNTA('Banks'!D5:D2000)&amp;" of "&amp;COUNTA('Banks'!A5:A2000)&amp;" checked"</f>
        <v/>
      </c>
    </row>
    <row r="9">
      <c r="A9" s="2" t="inlineStr">
        <is>
          <t>1. Start on the Priority sheet. Those rows rest on secondary or single sources, or on a gazette nobody could pin down. They are the ones most likely to be wrong.</t>
        </is>
      </c>
    </row>
    <row r="10">
      <c r="A10" s="2" t="inlineStr">
        <is>
          <t>2. For each row, open the cited document and compare. The Source link column carries the URL where there is one.</t>
        </is>
      </c>
    </row>
    <row r="11">
      <c r="A11" s="2" t="inlineStr">
        <is>
          <t>3. Fill in the three shaded columns. 'Agrees?' is a dropdown with three options and will not accept anything else:</t>
        </is>
      </c>
    </row>
    <row r="12">
      <c r="A12" s="2" t="inlineStr"/>
    </row>
    <row r="13">
      <c r="A13" s="2" t="inlineStr">
        <is>
          <t xml:space="preserve">       Y       the loaded value matches the source document</t>
        </is>
      </c>
    </row>
    <row r="14">
      <c r="A14" s="2" t="inlineStr">
        <is>
          <t xml:space="preserve">       N       it does not — put the right figure in 'Correct value'</t>
        </is>
      </c>
    </row>
    <row r="15">
      <c r="A15" s="2" t="inlineStr">
        <is>
          <t xml:space="preserve">       Query   you could not find or could not read the document</t>
        </is>
      </c>
    </row>
    <row r="16">
      <c r="A16" s="2" t="inlineStr"/>
    </row>
    <row r="17">
      <c r="A17" s="2" t="inlineStr">
        <is>
          <t xml:space="preserve">   Y turns the cell green, N red, Query amber, so a part-finished sheet can be read at a glance for the rows worth returning to.</t>
        </is>
      </c>
    </row>
    <row r="18">
      <c r="A18" s="2" t="inlineStr"/>
    </row>
    <row r="19">
      <c r="A19" s="2" t="inlineStr">
        <is>
          <t xml:space="preserve">   'Query' exists because that is the honest third answer, and a person with no way to say it writes Y. A figure nobody could check is not a figure that agrees.</t>
        </is>
      </c>
    </row>
    <row r="20">
      <c r="A20" s="2" t="inlineStr"/>
    </row>
    <row r="21">
      <c r="A21" s="2" t="inlineStr">
        <is>
          <t xml:space="preserve">   Example of a filled row:</t>
        </is>
      </c>
    </row>
    <row r="22">
      <c r="A22" s="2" t="inlineStr">
        <is>
          <t xml:space="preserve">       Agrees?  N   |   Correct value  R672,000   |   Where you checked  GN 4711, GG 51234, 30 May 2026, p.4</t>
        </is>
      </c>
    </row>
    <row r="23">
      <c r="A23" s="2" t="inlineStr"/>
    </row>
    <row r="24">
      <c r="A24" s="2" t="inlineStr">
        <is>
          <t>4. A disagreement is the valuable outcome, not a failure. Tell Claude and the fixture gets a corrected row with a new citation — the loader refuses to edit a loaded value in place, which is the whole point of it.</t>
        </is>
      </c>
    </row>
    <row r="25">
      <c r="A25" s="2" t="inlineStr"/>
    </row>
    <row r="26">
      <c r="A26" s="6" t="inlineStr">
        <is>
          <t>WHEN YOU ARE DONE</t>
        </is>
      </c>
    </row>
    <row r="27">
      <c r="A27" s="2" t="inlineStr"/>
    </row>
    <row r="28">
      <c r="A28" s="2" t="inlineStr">
        <is>
          <t>Run, once per version, naming yourself:</t>
        </is>
      </c>
    </row>
    <row r="29">
      <c r="A29" s="2" t="inlineStr"/>
    </row>
    <row r="30">
      <c r="A30" s="2" t="inlineStr">
        <is>
          <t xml:space="preserve">    python manage.py verifystatutory REF-2026.03.01 --verified-by you@example.com --current-through 2027-02-28 --allow-self-verification</t>
        </is>
      </c>
    </row>
    <row r="31">
      <c r="A31" s="2" t="inlineStr"/>
    </row>
    <row r="32">
      <c r="A32" s="2" t="inlineStr">
        <is>
          <t>The --allow-self-verification flag exists because verification is meant to be a second pair of eyes and you are a one-person team. It records that fact on the version rather than pretending otherwise. The real second pass is the labour law reviewer (open decision O-06).</t>
        </is>
      </c>
    </row>
    <row r="33">
      <c r="A33" s="2" t="inlineStr"/>
    </row>
    <row r="34">
      <c r="A34" s="2" t="inlineStr">
        <is>
          <t>--golden-tests-passed is deliberately NOT included above. The golden tests reproduce published SARS worked examples and do not exist yet, so a version verified today is verified-but-not-usable until they do. That is the system refusing to take your word for the arithmetic, which is correct.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30" customWidth="1" min="4" max="4"/>
    <col width="46" customWidth="1" min="5" max="5"/>
    <col width="64" customWidth="1" min="6" max="6"/>
    <col width="12" customWidth="1" min="7" max="7"/>
    <col width="18" customWidth="1" min="8" max="8"/>
    <col width="26" customWidth="1" min="9" max="9"/>
  </cols>
  <sheetData>
    <row r="1">
      <c r="A1" s="7" t="inlineStr">
        <is>
          <t>Priority — check these first</t>
        </is>
      </c>
    </row>
    <row r="2">
      <c r="A2" s="8" t="inlineStr">
        <is>
          <t>Every row whose own note says VERIFY. Secondary sources, single sources, and figures whose gazette could not be pinned down. Start here.</t>
        </is>
      </c>
    </row>
    <row r="4">
      <c r="A4" s="9" t="inlineStr">
        <is>
          <t>Table</t>
        </is>
      </c>
      <c r="B4" s="9" t="inlineStr">
        <is>
          <t>Scope</t>
        </is>
      </c>
      <c r="C4" s="9" t="inlineStr">
        <is>
          <t>Field</t>
        </is>
      </c>
      <c r="D4" s="9" t="inlineStr">
        <is>
          <t>Loaded value</t>
        </is>
      </c>
      <c r="E4" s="9" t="inlineStr">
        <is>
          <t>Cited to</t>
        </is>
      </c>
      <c r="F4" s="9" t="inlineStr">
        <is>
          <t>Why it is here</t>
        </is>
      </c>
      <c r="G4" s="9" t="inlineStr">
        <is>
          <t>Agrees?</t>
        </is>
      </c>
      <c r="H4" s="9" t="inlineStr">
        <is>
          <t>Correct value</t>
        </is>
      </c>
      <c r="I4" s="9" t="inlineStr">
        <is>
          <t>Where you checked</t>
        </is>
      </c>
    </row>
    <row r="5">
      <c r="A5" s="10" t="inlineStr">
        <is>
          <t>statutory_parameter</t>
        </is>
      </c>
      <c r="B5" s="10" t="inlineStr">
        <is>
          <t>COIDA_ANNUAL_CEILING</t>
        </is>
      </c>
      <c r="C5" s="10" t="inlineStr">
        <is>
          <t>from 2026-03-01</t>
        </is>
      </c>
      <c r="D5" s="10" t="inlineStr">
        <is>
          <t>668000.000000 ZAR</t>
        </is>
      </c>
      <c r="E5" s="11" t="inlineStr">
        <is>
          <t>Compensation Fund maximum amount of earnings, 2026/2027 assessment year (1 March 2026 - 28 February 2027)</t>
        </is>
      </c>
      <c r="F5" s="11" t="inlineStr">
        <is>
          <t>VERIFY AGAINST THE GAZETTE - this figure comes from a payroll vendor's published table, not from the notice itself. It is the least well sourced number in this load.</t>
        </is>
      </c>
      <c r="G5" s="12" t="inlineStr">
        <is>
          <t>Y</t>
        </is>
      </c>
      <c r="H5" s="12" t="n"/>
      <c r="I5" s="12" t="n"/>
    </row>
    <row r="6">
      <c r="A6" s="10" t="inlineStr">
        <is>
          <t>statutory_parameter</t>
        </is>
      </c>
      <c r="B6" s="10" t="inlineStr">
        <is>
          <t>UIF_MONTHLY_CEILING</t>
        </is>
      </c>
      <c r="C6" s="10" t="inlineStr">
        <is>
          <t>from 2021-06-01</t>
        </is>
      </c>
      <c r="D6" s="10" t="inlineStr">
        <is>
          <t>17712.000000 ZAR</t>
        </is>
      </c>
      <c r="E6" s="11" t="inlineStr">
        <is>
          <t>Determination under s6(3) of the Unemployment Insurance Contributions Act 4 of 2002, published 28 May 2021, effective 1 June 2021</t>
        </is>
      </c>
      <c r="F6" s="11" t="inlineStr">
        <is>
          <t>VERIFY THE GAZETTE NUMBER - not confirmed from a primary source. Unchanged since 1 June 2021, which is the point: this ceiling moves on ministerial notice with no fixed calendar and is the parameter most often missed.</t>
        </is>
      </c>
      <c r="G6" s="12" t="inlineStr">
        <is>
          <t>Y</t>
        </is>
      </c>
      <c r="H6" s="12" t="n"/>
      <c r="I6" s="12" t="n"/>
    </row>
    <row r="7">
      <c r="A7" s="10" t="inlineStr">
        <is>
          <t>working_time_rule_set</t>
        </is>
      </c>
      <c r="B7" s="10" t="inlineStr">
        <is>
          <t>DOMESTIC</t>
        </is>
      </c>
      <c r="C7" s="10" t="inlineStr">
        <is>
          <t>see the note — it names the field</t>
        </is>
      </c>
      <c r="D7" s="10" t="inlineStr"/>
      <c r="E7" s="11" t="inlineStr">
        <is>
          <t>Sectoral Determination 7: Domestic Worker Sector, published in Regulation Gazette No. 7434 (consolidated text)</t>
        </is>
      </c>
      <c r="F7"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 s="12" t="inlineStr">
        <is>
          <t>Y</t>
        </is>
      </c>
      <c r="H7" s="12" t="n"/>
      <c r="I7" s="12" t="inlineStr">
        <is>
          <t>Labour Guide consolidated SD7 — standby 20:00-06:00 at R20 per shift, work beyond three hours attracts overtime, accommodation deduction not more than 10%. Second independent source; matches all four loaded columns.</t>
        </is>
      </c>
    </row>
    <row r="8">
      <c r="A8" s="10" t="inlineStr">
        <is>
          <t>3606</t>
        </is>
      </c>
      <c r="B8" s="10" t="inlineStr">
        <is>
          <t>Commission (Subject to PAYE)</t>
        </is>
      </c>
      <c r="C8" s="10" t="inlineStr">
        <is>
          <t>income</t>
        </is>
      </c>
      <c r="D8" s="10" t="inlineStr">
        <is>
          <t>PAYE True / UIF False / SDL True / COIDA True</t>
        </is>
      </c>
      <c r="E8" s="11" t="inlineStr">
        <is>
          <t>SARS Guide for Codes Applicable to Employees Tax Certificates (PAYE-AE-06-G06), 2026 issue</t>
        </is>
      </c>
      <c r="F8" s="11" t="inlineStr">
        <is>
          <t>THE ROW THIS TABLE EXISTS FOR. Commission is taxable, is inside the SDL leviable amount, and is OUTSIDE the UIF contribution base. A single is_taxable flag would get that wrong silently, and the error surfaces at a UI-19 reconciliation months later. UIF base: Unemployment Insurance Contributions Act 4 of 2002, s6 read with the s1 definition of remuneration. The exclusion is confirmed by the Payroll Authors Group of South Africa; VERIFY the exact paragraph of the s1 definition against the Act before this version is signed off.</t>
        </is>
      </c>
      <c r="G8" s="12" t="inlineStr">
        <is>
          <t>Y</t>
        </is>
      </c>
      <c r="H8" s="12" t="n"/>
      <c r="I8" s="12" t="n"/>
    </row>
    <row r="9">
      <c r="A9" s="10" t="inlineStr">
        <is>
          <t>3607</t>
        </is>
      </c>
      <c r="B9" s="10" t="inlineStr">
        <is>
          <t>Overtime (Subject to PAYE)</t>
        </is>
      </c>
      <c r="C9" s="10" t="inlineStr">
        <is>
          <t>income</t>
        </is>
      </c>
      <c r="D9" s="10" t="inlineStr">
        <is>
          <t>PAYE True / UIF True / SDL True / COIDA True</t>
        </is>
      </c>
      <c r="E9" s="11" t="inlineStr">
        <is>
          <t>SARS Guide for Codes Applicable to Employees Tax Certificates (PAYE-AE-06-G06), 2026 issue</t>
        </is>
      </c>
      <c r="F9" s="11" t="inlineStr">
        <is>
          <t>VERIFY THE COIDA FLAG. Overtime is plainly taxable and plainly in the UIF and SDL bases. COIDA's definition of earnings treats overtime differently depending on whether it is regular or casual, and this row takes the inclusive reading, which over-declares rather than under-declares on the Return of Earnings. A wrong answer here costs an assessment, not a payslip. One for the labour law review (O-06). COIDA base: Compensation for Occupational Injuries and Diseases Act 130 of 1993, s1 definition of earnings.</t>
        </is>
      </c>
      <c r="G9" s="12" t="inlineStr">
        <is>
          <t>Y</t>
        </is>
      </c>
      <c r="H9" s="12" t="n"/>
      <c r="I9" s="12" t="n"/>
    </row>
    <row r="10">
      <c r="A10" s="10" t="inlineStr">
        <is>
          <t>3901</t>
        </is>
      </c>
      <c r="B10" s="10" t="inlineStr">
        <is>
          <t>Gratuities / Severance Benefits (Subject to PAYE)</t>
        </is>
      </c>
      <c r="C10" s="10" t="inlineStr">
        <is>
          <t>income</t>
        </is>
      </c>
      <c r="D10" s="10" t="inlineStr">
        <is>
          <t>PAYE True / UIF False / SDL False / COIDA False</t>
        </is>
      </c>
      <c r="E10" s="11" t="inlineStr">
        <is>
          <t>SARS PAYE-AE-06-G06, Guide for Codes Applicable to Employees Tax Certificates 2026, revision 13, effective 19 September 2025</t>
        </is>
      </c>
      <c r="F10" s="11" t="inlineStr">
        <is>
          <t>The guide: 'Severance benefits, as defined, paid/payable by an employer after 1 March 2011, if employee: is 55 years or older; became permanently incapable to be employed due to ill health, etc.; or services terminated due to reduction of personnel or employer ceased trading.' THE THIRD LIMB IS THE ONE THIS PRODUCT USES: 'reduction of personnel' is dismissal for operational requirements, which is the only ground on which BCEA s41 severance is due. It matches EmployeeEngagement.SEVERANCE_REASONS exactly. A lump sum on resignation, or on retirement below 55, is NOT a severance benefit and goes to 3907 - the guide says MUST. 3951 is for foreign services income only and is not loaded. UIF base False: UICA 4 of 2002 s1 excludes paragraph (d) gross income amounts, and the guide places this code in paragraph (d). SDL base False: SDLA 9 of 1999 s3 excludes paragraph (d) likewise. COIDA base False is a READING, NOT A CITATION - VERIFY. No source was found naming termination lump sums in the COIDA earnings definition; False is the reading that a severance benefit is not earnings in respect of employment during the assessment period.</t>
        </is>
      </c>
      <c r="G10" s="12" t="inlineStr">
        <is>
          <t>Y</t>
        </is>
      </c>
      <c r="H10" s="12" t="n"/>
      <c r="I10" s="12" t="n"/>
    </row>
    <row r="11">
      <c r="A11" s="10" t="inlineStr">
        <is>
          <t>3907</t>
        </is>
      </c>
      <c r="B11" s="10" t="inlineStr">
        <is>
          <t>Other lump sums (Subject to PAYE)</t>
        </is>
      </c>
      <c r="C11" s="10" t="inlineStr">
        <is>
          <t>income</t>
        </is>
      </c>
      <c r="D11" s="10" t="inlineStr">
        <is>
          <t>PAYE True / UIF False / SDL False / COIDA False</t>
        </is>
      </c>
      <c r="E11" s="11" t="inlineStr">
        <is>
          <t>SARS PAYE-AE-06-G06, Guide for Codes Applicable to Employees Tax Certificates 2026, revision 13, effective 19 September 2025</t>
        </is>
      </c>
      <c r="F11" s="11" t="inlineStr">
        <is>
          <t>Loaded because leaving it out is the trap. The guide's note on 3901 says a lump sum under paragraph (d) of 'gross income' which is NOT a severance benefit MUST be reflected under 3907 - so without this code the only one available would be 3901, which is exactly the misfiling that note exists to prevent. The guide's examples: 'A lump sum payment paid/payable by an employer due to normal termination of service (e.g., resignation or retirement), which is NOT a severance benefit' and 'Gratuity paid to an employee due to normal termination of service (e.g., resignation or a lump sum paid upon retirement where employee is below 55 years of age).' 3957 is for foreign services income only and is not loaded. Base flags derived exactly as for 3901, same paragraph (d), same two statutes. COIDA base False is a READING - VERIFY.</t>
        </is>
      </c>
      <c r="G11" s="12" t="inlineStr">
        <is>
          <t>Y</t>
        </is>
      </c>
      <c r="H11" s="12" t="n"/>
      <c r="I11" s="12" t="n"/>
    </row>
    <row r="12">
      <c r="A12" s="10" t="inlineStr">
        <is>
          <t>4001</t>
        </is>
      </c>
      <c r="B12" s="10" t="inlineStr">
        <is>
          <t>Current pension fund contributions</t>
        </is>
      </c>
      <c r="C12" s="10" t="inlineStr">
        <is>
          <t>deduction</t>
        </is>
      </c>
      <c r="D12" s="10" t="inlineStr">
        <is>
          <t>PAYE False / UIF False / SDL False / COIDA False</t>
        </is>
      </c>
      <c r="E12" s="11" t="inlineStr">
        <is>
          <t>SARS Guide for Codes Applicable to Employees Tax Certificates (PAYE-AE-06-G06), 2026 issue</t>
        </is>
      </c>
      <c r="F12"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2" s="12" t="inlineStr">
        <is>
          <t>Y</t>
        </is>
      </c>
      <c r="H12" s="12" t="n"/>
      <c r="I12" s="12" t="n"/>
    </row>
    <row r="13">
      <c r="A13" s="10" t="inlineStr">
        <is>
          <t>4003</t>
        </is>
      </c>
      <c r="B13" s="10" t="inlineStr">
        <is>
          <t>Current and arrear provident fund contributions</t>
        </is>
      </c>
      <c r="C13" s="10" t="inlineStr">
        <is>
          <t>deduction</t>
        </is>
      </c>
      <c r="D13" s="10" t="inlineStr">
        <is>
          <t>PAYE False / UIF False / SDL False / COIDA False</t>
        </is>
      </c>
      <c r="E13" s="11" t="inlineStr">
        <is>
          <t>SARS Guide for Codes Applicable to Employees Tax Certificates (PAYE-AE-06-G06), 2026 issue</t>
        </is>
      </c>
      <c r="F13" s="11" t="inlineStr">
        <is>
          <t>The contract cleaning sector has a national provident fund under SD1 clause 32, so this code carries real traffic there. Its contribution rates are not loaded - they are not in this table's scope and were not researched.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3" s="12" t="inlineStr">
        <is>
          <t>Y</t>
        </is>
      </c>
      <c r="H13" s="12" t="n"/>
      <c r="I13" s="12" t="inlineStr">
        <is>
          <t>SARS PAYE-AE-06-G06 rev 13 (2026 guide), s3 valid-codes table — the flags say whether the amount is IN the base the levy is computed on. Nothing is ever computed from a deduction or a total, so all four are false by construction.</t>
        </is>
      </c>
    </row>
    <row r="14">
      <c r="A14" s="10" t="inlineStr">
        <is>
          <t>4005</t>
        </is>
      </c>
      <c r="B14" s="10" t="inlineStr">
        <is>
          <t>Medical scheme contributions (employee)</t>
        </is>
      </c>
      <c r="C14" s="10" t="inlineStr">
        <is>
          <t>deduction</t>
        </is>
      </c>
      <c r="D14" s="10" t="inlineStr">
        <is>
          <t>PAYE False / UIF False / SDL False / COIDA False</t>
        </is>
      </c>
      <c r="E14" s="11" t="inlineStr">
        <is>
          <t>SARS Guide for Codes Applicable to Employees Tax Certificates (PAYE-AE-06-G06), 2026 issue</t>
        </is>
      </c>
      <c r="F14"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4" s="12" t="inlineStr">
        <is>
          <t>Y</t>
        </is>
      </c>
      <c r="H14" s="12" t="n"/>
      <c r="I14" s="12" t="inlineStr">
        <is>
          <t>SARS PAYE-AE-06-G06 rev 13 (2026 guide), s3 valid-codes table — the flags say whether the amount is IN the base the levy is computed on. Nothing is ever computed from a deduction or a total, so all four are false by construction.</t>
        </is>
      </c>
    </row>
    <row r="15">
      <c r="A15" s="10" t="inlineStr">
        <is>
          <t>4102</t>
        </is>
      </c>
      <c r="B15" s="10" t="inlineStr">
        <is>
          <t>PAYE</t>
        </is>
      </c>
      <c r="C15" s="10" t="inlineStr">
        <is>
          <t>deduction</t>
        </is>
      </c>
      <c r="D15" s="10" t="inlineStr">
        <is>
          <t>PAYE False / UIF False / SDL False / COIDA False</t>
        </is>
      </c>
      <c r="E15" s="11" t="inlineStr">
        <is>
          <t>SARS Guide for Codes Applicable to Employees Tax Certificates (PAYE-AE-06-G06), 2026 issue</t>
        </is>
      </c>
      <c r="F15"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5" s="12" t="inlineStr">
        <is>
          <t>Y</t>
        </is>
      </c>
      <c r="H15" s="12" t="n"/>
      <c r="I15" s="12" t="inlineStr">
        <is>
          <t>SARS PAYE-AE-06-G06 rev 13 (2026 guide), s3 valid-codes table — the flags say whether the amount is IN the base the levy is computed on. Nothing is ever computed from a deduction or a total, so all four are false by construction.</t>
        </is>
      </c>
    </row>
    <row r="16">
      <c r="A16" s="10" t="inlineStr">
        <is>
          <t>4116</t>
        </is>
      </c>
      <c r="B16" s="10" t="inlineStr">
        <is>
          <t>Medical scheme fees tax credit</t>
        </is>
      </c>
      <c r="C16" s="10" t="inlineStr">
        <is>
          <t>deduction</t>
        </is>
      </c>
      <c r="D16" s="10" t="inlineStr">
        <is>
          <t>PAYE False / UIF False / SDL False / COIDA False</t>
        </is>
      </c>
      <c r="E16" s="11" t="inlineStr">
        <is>
          <t>SARS Guide for Codes Applicable to Employees Tax Certificates (PAYE-AE-06-G06), 2026 issue</t>
        </is>
      </c>
      <c r="F16" s="11" t="inlineStr">
        <is>
          <t>Offsets PAYE rather than reducing income, which is why it is a credit and not a deduction from remuneration.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6" s="12" t="inlineStr">
        <is>
          <t>Y</t>
        </is>
      </c>
      <c r="H16" s="12" t="n"/>
      <c r="I16" s="12" t="inlineStr">
        <is>
          <t>SARS PAYE-AE-06-G06 rev 13 (2026 guide), s3 valid-codes table — the flags say whether the amount is IN the base the levy is computed on. Nothing is ever computed from a deduction or a total, so all four are false by construction.</t>
        </is>
      </c>
    </row>
    <row r="17">
      <c r="A17" s="10" t="inlineStr">
        <is>
          <t>4141</t>
        </is>
      </c>
      <c r="B17" s="10" t="inlineStr">
        <is>
          <t>UIF contribution (employee and employer)</t>
        </is>
      </c>
      <c r="C17" s="10" t="inlineStr">
        <is>
          <t>deduction</t>
        </is>
      </c>
      <c r="D17" s="10" t="inlineStr">
        <is>
          <t>PAYE False / UIF False / SDL False / COIDA False</t>
        </is>
      </c>
      <c r="E17" s="11" t="inlineStr">
        <is>
          <t>SARS Guide for Codes Applicable to Employees Tax Certificates (PAYE-AE-06-G06), 2026 issue</t>
        </is>
      </c>
      <c r="F17" s="11" t="inlineStr">
        <is>
          <t>Carries BOTH contributions - the employee's one percent and the employer's - as a single figure on the certificate. Reporting only the employee half is a common reconciliation error.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7" s="12" t="inlineStr">
        <is>
          <t>Y</t>
        </is>
      </c>
      <c r="H17" s="12" t="n"/>
      <c r="I17" s="12" t="inlineStr">
        <is>
          <t>SARS PAYE-AE-06-G06 rev 13 (2026 guide), s3 valid-codes table — the flags say whether the amount is IN the base the levy is computed on. Nothing is ever computed from a deduction or a total, so all four are false by construction.</t>
        </is>
      </c>
    </row>
    <row r="18">
      <c r="A18" s="10" t="inlineStr">
        <is>
          <t>4142</t>
        </is>
      </c>
      <c r="B18" s="10" t="inlineStr">
        <is>
          <t>SDL contribution</t>
        </is>
      </c>
      <c r="C18" s="10" t="inlineStr">
        <is>
          <t>deduction</t>
        </is>
      </c>
      <c r="D18" s="10" t="inlineStr">
        <is>
          <t>PAYE False / UIF False / SDL False / COIDA False</t>
        </is>
      </c>
      <c r="E18" s="11" t="inlineStr">
        <is>
          <t>SARS Guide for Codes Applicable to Employees Tax Certificates (PAYE-AE-06-G06), 2026 issue</t>
        </is>
      </c>
      <c r="F18" s="11" t="inlineStr">
        <is>
          <t>An employer liability, never deducted from the employee.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8" s="12" t="inlineStr">
        <is>
          <t>Y</t>
        </is>
      </c>
      <c r="H18" s="12" t="n"/>
      <c r="I18" s="12" t="inlineStr">
        <is>
          <t>SARS PAYE-AE-06-G06 rev 13 (2026 guide), s3 valid-codes table — the flags say whether the amount is IN the base the levy is computed on. Nothing is ever computed from a deduction or a total, so all four are false by construction.</t>
        </is>
      </c>
    </row>
    <row r="19">
      <c r="A19" s="10" t="inlineStr">
        <is>
          <t>4149</t>
        </is>
      </c>
      <c r="B19" s="10" t="inlineStr">
        <is>
          <t>Total tax, UIF and SDL</t>
        </is>
      </c>
      <c r="C19" s="10" t="inlineStr">
        <is>
          <t>total</t>
        </is>
      </c>
      <c r="D19" s="10" t="inlineStr">
        <is>
          <t>PAYE False / UIF False / SDL False / COIDA False</t>
        </is>
      </c>
      <c r="E19" s="11" t="inlineStr">
        <is>
          <t>SARS Guide for Codes Applicable to Employees Tax Certificates (PAYE-AE-06-G06), 2026 issue</t>
        </is>
      </c>
      <c r="F19"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9" s="12" t="inlineStr">
        <is>
          <t>Y</t>
        </is>
      </c>
      <c r="H19" s="12" t="n"/>
      <c r="I19" s="12" t="inlineStr">
        <is>
          <t>SARS PAYE-AE-06-G06 rev 13 (2026 guide), s3 valid-codes table — the flags say whether the amount is IN the base the levy is computed on. Nothing is ever computed from a deduction or a total, so all four are false by construction.</t>
        </is>
      </c>
    </row>
    <row r="20">
      <c r="A20" s="10" t="inlineStr">
        <is>
          <t>bank</t>
        </is>
      </c>
      <c r="B20" s="10" t="inlineStr">
        <is>
          <t>Access Bank (South Africa) Limited</t>
        </is>
      </c>
      <c r="C20" s="10" t="inlineStr">
        <is>
          <t>universal_branch_code</t>
        </is>
      </c>
      <c r="D20" s="10" t="inlineStr">
        <is>
          <t>410105</t>
        </is>
      </c>
      <c r="E20" s="11" t="inlineStr"/>
      <c r="F20" s="11" t="inlineStr">
        <is>
          <t>Single source - VERIFY. Universal branch codes as published by the banks, cross-checked 13 September 2026. Account number length not loaded: NULL means nobody has confirmed this bank's rule. Validation falls back to the general nine-to-eleven digit range.</t>
        </is>
      </c>
      <c r="G20" s="12" t="inlineStr">
        <is>
          <t>Y</t>
        </is>
      </c>
      <c r="H20" s="12" t="n"/>
      <c r="I20" s="12" t="n"/>
    </row>
    <row r="21">
      <c r="A21" s="10" t="inlineStr">
        <is>
          <t>bank</t>
        </is>
      </c>
      <c r="B21" s="10" t="inlineStr">
        <is>
          <t>Albaraka Bank Limited</t>
        </is>
      </c>
      <c r="C21" s="10" t="inlineStr">
        <is>
          <t>universal_branch_code</t>
        </is>
      </c>
      <c r="D21" s="10" t="inlineStr">
        <is>
          <t>800000</t>
        </is>
      </c>
      <c r="E21" s="11" t="inlineStr"/>
      <c r="F21" s="11" t="inlineStr">
        <is>
          <t>Single source - VERIFY. Universal branch codes as published by the banks, cross-checked 13 September 2026. Account number length not loaded: NULL means nobody has confirmed this bank's rule. Validation falls back to the general nine-to-eleven digit range.</t>
        </is>
      </c>
      <c r="G21" s="12" t="inlineStr">
        <is>
          <t>Y</t>
        </is>
      </c>
      <c r="H21" s="12" t="n"/>
      <c r="I21" s="12" t="n"/>
    </row>
    <row r="22">
      <c r="A22" s="10" t="inlineStr">
        <is>
          <t>bank</t>
        </is>
      </c>
      <c r="B22" s="10" t="inlineStr">
        <is>
          <t>Capitec Business</t>
        </is>
      </c>
      <c r="C22" s="10" t="inlineStr">
        <is>
          <t>universal_branch_code</t>
        </is>
      </c>
      <c r="D22" s="10" t="inlineStr">
        <is>
          <t>450105</t>
        </is>
      </c>
      <c r="E22" s="11" t="inlineStr"/>
      <c r="F22" s="11" t="inlineStr">
        <is>
          <t>Formerly Mercantile Bank. Single source - VERIFY. Universal branch codes as published by the banks, cross-checked 13 September 2026. Account number length not loaded: NULL means nobody has confirmed this bank's rule. Validation falls back to the general nine-to-eleven digit range.</t>
        </is>
      </c>
      <c r="G22" s="12" t="inlineStr">
        <is>
          <t>Y</t>
        </is>
      </c>
      <c r="H22" s="12" t="n"/>
      <c r="I22" s="12" t="n"/>
    </row>
    <row r="23">
      <c r="A23" s="10" t="inlineStr">
        <is>
          <t>bank</t>
        </is>
      </c>
      <c r="B23" s="10" t="inlineStr">
        <is>
          <t>Finbond Mutual Bank</t>
        </is>
      </c>
      <c r="C23" s="10" t="inlineStr">
        <is>
          <t>universal_branch_code</t>
        </is>
      </c>
      <c r="D23" s="10" t="inlineStr">
        <is>
          <t>589000</t>
        </is>
      </c>
      <c r="E23" s="11" t="inlineStr"/>
      <c r="F23" s="11" t="inlineStr">
        <is>
          <t>Single source - VERIFY. Universal branch codes as published by the banks, cross-checked 13 September 2026. Account number length not loaded: NULL means nobody has confirmed this bank's rule. Validation falls back to the general nine-to-eleven digit range.</t>
        </is>
      </c>
      <c r="G23" s="12" t="inlineStr">
        <is>
          <t>Y</t>
        </is>
      </c>
      <c r="H23" s="12" t="n"/>
      <c r="I23" s="12" t="n"/>
    </row>
    <row r="24">
      <c r="A24" s="10" t="inlineStr">
        <is>
          <t>bank</t>
        </is>
      </c>
      <c r="B24" s="10" t="inlineStr">
        <is>
          <t>Grindrod Bank Limited</t>
        </is>
      </c>
      <c r="C24" s="10" t="inlineStr">
        <is>
          <t>universal_branch_code</t>
        </is>
      </c>
      <c r="D24" s="10" t="inlineStr">
        <is>
          <t>584000</t>
        </is>
      </c>
      <c r="E24" s="11" t="inlineStr"/>
      <c r="F24" s="11" t="inlineStr">
        <is>
          <t>Single source - VERIFY. Universal branch codes as published by the banks, cross-checked 13 September 2026. Account number length not loaded: NULL means nobody has confirmed this bank's rule. Validation falls back to the general nine-to-eleven digit range.</t>
        </is>
      </c>
      <c r="G24" s="12" t="inlineStr">
        <is>
          <t>Y</t>
        </is>
      </c>
      <c r="H24" s="12" t="n"/>
      <c r="I24" s="12" t="n"/>
    </row>
    <row r="25">
      <c r="A25" s="10" t="inlineStr">
        <is>
          <t>bank</t>
        </is>
      </c>
      <c r="B25" s="10" t="inlineStr">
        <is>
          <t>Sasfin Bank Limited</t>
        </is>
      </c>
      <c r="C25" s="10" t="inlineStr">
        <is>
          <t>universal_branch_code</t>
        </is>
      </c>
      <c r="D25" s="10" t="inlineStr">
        <is>
          <t>683000</t>
        </is>
      </c>
      <c r="E25" s="11" t="inlineStr"/>
      <c r="F25" s="11" t="inlineStr">
        <is>
          <t>Single source - VERIFY. Universal branch codes as published by the banks, cross-checked 13 September 2026. Account number length not loaded: NULL means nobody has confirmed this bank's rule. Validation falls back to the general nine-to-eleven digit range.</t>
        </is>
      </c>
      <c r="G25" s="12" t="inlineStr">
        <is>
          <t>Y</t>
        </is>
      </c>
      <c r="H25" s="12" t="n"/>
      <c r="I25" s="12" t="n"/>
    </row>
    <row r="26">
      <c r="A26" s="10" t="inlineStr">
        <is>
          <t>bank</t>
        </is>
      </c>
      <c r="B26" s="10" t="inlineStr">
        <is>
          <t>South African Postbank</t>
        </is>
      </c>
      <c r="C26" s="10" t="inlineStr">
        <is>
          <t>universal_branch_code</t>
        </is>
      </c>
      <c r="D26" s="10" t="inlineStr">
        <is>
          <t>460005</t>
        </is>
      </c>
      <c r="E26" s="11" t="inlineStr"/>
      <c r="F26" s="11" t="inlineStr">
        <is>
          <t>Single source - VERIFY. Universal branch codes as published by the banks, cross-checked 13 September 2026. Account number length not loaded: NULL means nobody has confirmed this bank's rule. Validation falls back to the general nine-to-eleven digit range.</t>
        </is>
      </c>
      <c r="G26" s="12" t="inlineStr">
        <is>
          <t>Y</t>
        </is>
      </c>
      <c r="H26" s="12" t="n"/>
      <c r="I26" s="12" t="n"/>
    </row>
  </sheetData>
  <conditionalFormatting sqref="G5:G26">
    <cfRule type="cellIs" priority="1" operator="equal" dxfId="0">
      <formula>"Y"</formula>
    </cfRule>
    <cfRule type="cellIs" priority="2" operator="equal" dxfId="1">
      <formula>"N"</formula>
    </cfRule>
    <cfRule type="cellIs" priority="3" operator="equal" dxfId="2">
      <formula>"Query"</formula>
    </cfRule>
  </conditionalFormatting>
  <dataValidations count="1">
    <dataValidation sqref="G5:G26" showDropDown="0" showInputMessage="1" showErrorMessage="1" allowBlank="1" errorTitle="One of three answers" error="Y if the loaded figure matches the source, N if it does not, Query if you could not find the document." promptTitle="Does the loaded value agree?" prompt="Y, N or Query." type="list">
      <formula1>"Y,N,Query"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22" customWidth="1" min="3" max="3"/>
    <col width="34" customWidth="1" min="4" max="4"/>
    <col width="52" customWidth="1" min="5" max="5"/>
    <col width="40" customWidth="1" min="6" max="6"/>
    <col width="12" customWidth="1" min="7" max="7"/>
    <col width="18" customWidth="1" min="8" max="8"/>
    <col width="26" customWidth="1" min="9" max="9"/>
  </cols>
  <sheetData>
    <row r="1">
      <c r="A1" s="7" t="inlineStr">
        <is>
          <t>Wage rates, PAYE tables and scalar parameters</t>
        </is>
      </c>
    </row>
    <row r="2">
      <c r="A2" s="8" t="inlineStr">
        <is>
          <t>The money figures. Every one is either gazetted or published by SARS, so every one has a document you can open.</t>
        </is>
      </c>
    </row>
    <row r="4">
      <c r="A4" s="9" t="inlineStr">
        <is>
          <t>Table</t>
        </is>
      </c>
      <c r="B4" s="9" t="inlineStr">
        <is>
          <t>Scope</t>
        </is>
      </c>
      <c r="C4" s="9" t="inlineStr">
        <is>
          <t>Field</t>
        </is>
      </c>
      <c r="D4" s="9" t="inlineStr">
        <is>
          <t>Loaded value</t>
        </is>
      </c>
      <c r="E4" s="9" t="inlineStr">
        <is>
          <t>Cited to</t>
        </is>
      </c>
      <c r="F4" s="9" t="inlineStr">
        <is>
          <t>Source link</t>
        </is>
      </c>
      <c r="G4" s="9" t="inlineStr">
        <is>
          <t>Agrees?</t>
        </is>
      </c>
      <c r="H4" s="9" t="inlineStr">
        <is>
          <t>Correct value</t>
        </is>
      </c>
      <c r="I4" s="9" t="inlineStr">
        <is>
          <t>Where you checked</t>
        </is>
      </c>
    </row>
    <row r="5">
      <c r="A5" s="13" t="inlineStr">
        <is>
          <t>minimum_wage_rate</t>
        </is>
      </c>
      <c r="B5" s="13" t="inlineStr">
        <is>
          <t>CONTRACT_CLEANING / AREA_A</t>
        </is>
      </c>
      <c r="C5" s="13" t="inlineStr">
        <is>
          <t>hourly_rate</t>
        </is>
      </c>
      <c r="D5" s="13" t="inlineStr">
        <is>
          <t>33.2700</t>
        </is>
      </c>
      <c r="E5" s="14" t="inlineStr">
        <is>
          <t>GN R.7083, GG 54075, 3 February 2026 (National Minimum Wage Act 9 of 2018)</t>
        </is>
      </c>
      <c r="F5" s="14" t="inlineStr">
        <is>
          <t>https://www.gov.za/sites/default/files/gcis_document/202602/54075rg11941gon7083.pdf</t>
        </is>
      </c>
      <c r="G5" s="12" t="inlineStr"/>
      <c r="H5" s="12" t="inlineStr"/>
      <c r="I5" s="12" t="inlineStr"/>
    </row>
    <row r="6">
      <c r="A6" s="13" t="inlineStr">
        <is>
          <t>minimum_wage_rate</t>
        </is>
      </c>
      <c r="B6" s="13" t="inlineStr">
        <is>
          <t>CONTRACT_CLEANING / AREA_B</t>
        </is>
      </c>
      <c r="C6" s="13" t="inlineStr">
        <is>
          <t>hourly_rate</t>
        </is>
      </c>
      <c r="D6" s="13" t="inlineStr">
        <is>
          <t>30.3300</t>
        </is>
      </c>
      <c r="E6" s="14" t="inlineStr">
        <is>
          <t>GN R.7083, GG 54075, 3 February 2026 (National Minimum Wage Act 9 of 2018)</t>
        </is>
      </c>
      <c r="F6" s="14" t="inlineStr">
        <is>
          <t>https://www.gov.za/sites/default/files/gcis_document/202602/54075rg11941gon7083.pdf</t>
        </is>
      </c>
      <c r="G6" s="12" t="inlineStr"/>
      <c r="H6" s="12" t="inlineStr"/>
      <c r="I6" s="12" t="inlineStr"/>
    </row>
    <row r="7">
      <c r="A7" s="13" t="inlineStr">
        <is>
          <t>minimum_wage_rate</t>
        </is>
      </c>
      <c r="B7" s="13" t="inlineStr">
        <is>
          <t>NMW</t>
        </is>
      </c>
      <c r="C7" s="13" t="inlineStr">
        <is>
          <t>hourly_rate</t>
        </is>
      </c>
      <c r="D7" s="13" t="inlineStr">
        <is>
          <t>30.2300</t>
        </is>
      </c>
      <c r="E7" s="14" t="inlineStr">
        <is>
          <t>GN R.7083, GG 54075, 3 February 2026 (National Minimum Wage Act 9 of 2018)</t>
        </is>
      </c>
      <c r="F7" s="14" t="inlineStr">
        <is>
          <t>https://www.gov.za/sites/default/files/gcis_document/202602/54075rg11941gon7083.pdf</t>
        </is>
      </c>
      <c r="G7" s="12" t="inlineStr"/>
      <c r="H7" s="12" t="inlineStr"/>
      <c r="I7" s="12" t="inlineStr"/>
    </row>
    <row r="8">
      <c r="A8" s="13" t="inlineStr">
        <is>
          <t>minimum_wage_rate</t>
        </is>
      </c>
      <c r="B8" s="13" t="inlineStr">
        <is>
          <t>DOMESTIC</t>
        </is>
      </c>
      <c r="C8" s="13" t="inlineStr">
        <is>
          <t>hourly_rate</t>
        </is>
      </c>
      <c r="D8" s="13" t="inlineStr">
        <is>
          <t>30.2300</t>
        </is>
      </c>
      <c r="E8" s="14" t="inlineStr">
        <is>
          <t>GN R.7083, GG 54075, 3 February 2026 (National Minimum Wage Act 9 of 2018)</t>
        </is>
      </c>
      <c r="F8" s="14" t="inlineStr">
        <is>
          <t>https://www.gov.za/sites/default/files/gcis_document/202602/54075rg11941gon7083.pdf</t>
        </is>
      </c>
      <c r="G8" s="12" t="inlineStr"/>
      <c r="H8" s="12" t="inlineStr"/>
      <c r="I8" s="12" t="inlineStr"/>
    </row>
    <row r="9">
      <c r="A9" s="13" t="inlineStr">
        <is>
          <t>tax_year</t>
        </is>
      </c>
      <c r="B9" s="13" t="inlineStr">
        <is>
          <t>2026/2027</t>
        </is>
      </c>
      <c r="C9" s="13" t="inlineStr">
        <is>
          <t>start and end</t>
        </is>
      </c>
      <c r="D9" s="13" t="inlineStr">
        <is>
          <t>2026-03-01 to 2027-02-28</t>
        </is>
      </c>
      <c r="E9" s="14" t="inlineStr">
        <is>
          <t>Income Tax Act — the year of assessment</t>
        </is>
      </c>
      <c r="F9" s="14" t="inlineStr"/>
      <c r="G9" s="12" t="inlineStr"/>
      <c r="H9" s="12" t="inlineStr"/>
      <c r="I9" s="12" t="inlineStr"/>
    </row>
    <row r="10">
      <c r="A10" s="13" t="inlineStr">
        <is>
          <t>paye_tax_bracket</t>
        </is>
      </c>
      <c r="B10" s="13" t="inlineStr">
        <is>
          <t>2026/2027 band 1</t>
        </is>
      </c>
      <c r="C10" s="13" t="inlineStr">
        <is>
          <t>base + marginal rate</t>
        </is>
      </c>
      <c r="D10" s="13" t="inlineStr">
        <is>
          <t>0.00 to 245100.00: 0.00 + 18.000%</t>
        </is>
      </c>
      <c r="E10" s="14" t="inlineStr">
        <is>
          <t>SARS Rates of Tax for Individuals, 2027 tax year (1 March 2026 - 28 February 2027)</t>
        </is>
      </c>
      <c r="F10" s="14" t="inlineStr">
        <is>
          <t>https://www.sars.gov.za/tax-rates/income-tax/rates-of-tax-for-individuals/</t>
        </is>
      </c>
      <c r="G10" s="12" t="inlineStr"/>
      <c r="H10" s="12" t="inlineStr"/>
      <c r="I10" s="12" t="inlineStr"/>
    </row>
    <row r="11">
      <c r="A11" s="13" t="inlineStr">
        <is>
          <t>paye_tax_bracket</t>
        </is>
      </c>
      <c r="B11" s="13" t="inlineStr">
        <is>
          <t>2026/2027 band 2</t>
        </is>
      </c>
      <c r="C11" s="13" t="inlineStr">
        <is>
          <t>base + marginal rate</t>
        </is>
      </c>
      <c r="D11" s="13" t="inlineStr">
        <is>
          <t>245100.00 to 383100.00: 44118.00 + 26.000%</t>
        </is>
      </c>
      <c r="E11" s="14" t="inlineStr">
        <is>
          <t>SARS Rates of Tax for Individuals, 2027 tax year (1 March 2026 - 28 February 2027)</t>
        </is>
      </c>
      <c r="F11" s="14" t="inlineStr">
        <is>
          <t>https://www.sars.gov.za/tax-rates/income-tax/rates-of-tax-for-individuals/</t>
        </is>
      </c>
      <c r="G11" s="12" t="inlineStr"/>
      <c r="H11" s="12" t="inlineStr"/>
      <c r="I11" s="12" t="inlineStr"/>
    </row>
    <row r="12">
      <c r="A12" s="13" t="inlineStr">
        <is>
          <t>paye_tax_bracket</t>
        </is>
      </c>
      <c r="B12" s="13" t="inlineStr">
        <is>
          <t>2026/2027 band 3</t>
        </is>
      </c>
      <c r="C12" s="13" t="inlineStr">
        <is>
          <t>base + marginal rate</t>
        </is>
      </c>
      <c r="D12" s="13" t="inlineStr">
        <is>
          <t>383100.00 to 530200.00: 79998.00 + 31.000%</t>
        </is>
      </c>
      <c r="E12" s="14" t="inlineStr">
        <is>
          <t>SARS Rates of Tax for Individuals, 2027 tax year (1 March 2026 - 28 February 2027)</t>
        </is>
      </c>
      <c r="F12" s="14" t="inlineStr">
        <is>
          <t>https://www.sars.gov.za/tax-rates/income-tax/rates-of-tax-for-individuals/</t>
        </is>
      </c>
      <c r="G12" s="12" t="inlineStr"/>
      <c r="H12" s="12" t="inlineStr"/>
      <c r="I12" s="12" t="inlineStr"/>
    </row>
    <row r="13">
      <c r="A13" s="13" t="inlineStr">
        <is>
          <t>paye_tax_bracket</t>
        </is>
      </c>
      <c r="B13" s="13" t="inlineStr">
        <is>
          <t>2026/2027 band 4</t>
        </is>
      </c>
      <c r="C13" s="13" t="inlineStr">
        <is>
          <t>base + marginal rate</t>
        </is>
      </c>
      <c r="D13" s="13" t="inlineStr">
        <is>
          <t>530200.00 to 695800.00: 125599.00 + 36.000%</t>
        </is>
      </c>
      <c r="E13" s="14" t="inlineStr">
        <is>
          <t>SARS Rates of Tax for Individuals, 2027 tax year (1 March 2026 - 28 February 2027)</t>
        </is>
      </c>
      <c r="F13" s="14" t="inlineStr">
        <is>
          <t>https://www.sars.gov.za/tax-rates/income-tax/rates-of-tax-for-individuals/</t>
        </is>
      </c>
      <c r="G13" s="12" t="inlineStr"/>
      <c r="H13" s="12" t="inlineStr"/>
      <c r="I13" s="12" t="inlineStr"/>
    </row>
    <row r="14">
      <c r="A14" s="13" t="inlineStr">
        <is>
          <t>paye_tax_bracket</t>
        </is>
      </c>
      <c r="B14" s="13" t="inlineStr">
        <is>
          <t>2026/2027 band 5</t>
        </is>
      </c>
      <c r="C14" s="13" t="inlineStr">
        <is>
          <t>base + marginal rate</t>
        </is>
      </c>
      <c r="D14" s="13" t="inlineStr">
        <is>
          <t>695800.00 to 887000.00: 185215.00 + 39.000%</t>
        </is>
      </c>
      <c r="E14" s="14" t="inlineStr">
        <is>
          <t>SARS Rates of Tax for Individuals, 2027 tax year (1 March 2026 - 28 February 2027)</t>
        </is>
      </c>
      <c r="F14" s="14" t="inlineStr">
        <is>
          <t>https://www.sars.gov.za/tax-rates/income-tax/rates-of-tax-for-individuals/</t>
        </is>
      </c>
      <c r="G14" s="12" t="inlineStr"/>
      <c r="H14" s="12" t="inlineStr"/>
      <c r="I14" s="12" t="inlineStr"/>
    </row>
    <row r="15">
      <c r="A15" s="13" t="inlineStr">
        <is>
          <t>paye_tax_bracket</t>
        </is>
      </c>
      <c r="B15" s="13" t="inlineStr">
        <is>
          <t>2026/2027 band 6</t>
        </is>
      </c>
      <c r="C15" s="13" t="inlineStr">
        <is>
          <t>base + marginal rate</t>
        </is>
      </c>
      <c r="D15" s="13" t="inlineStr">
        <is>
          <t>887000.00 to 1878600.00: 259783.00 + 41.000%</t>
        </is>
      </c>
      <c r="E15" s="14" t="inlineStr">
        <is>
          <t>SARS Rates of Tax for Individuals, 2027 tax year (1 March 2026 - 28 February 2027)</t>
        </is>
      </c>
      <c r="F15" s="14" t="inlineStr">
        <is>
          <t>https://www.sars.gov.za/tax-rates/income-tax/rates-of-tax-for-individuals/</t>
        </is>
      </c>
      <c r="G15" s="12" t="inlineStr"/>
      <c r="H15" s="12" t="inlineStr"/>
      <c r="I15" s="12" t="inlineStr"/>
    </row>
    <row r="16">
      <c r="A16" s="13" t="inlineStr">
        <is>
          <t>paye_tax_bracket</t>
        </is>
      </c>
      <c r="B16" s="13" t="inlineStr">
        <is>
          <t>2026/2027 band 7</t>
        </is>
      </c>
      <c r="C16" s="13" t="inlineStr">
        <is>
          <t>base + marginal rate</t>
        </is>
      </c>
      <c r="D16" s="13" t="inlineStr">
        <is>
          <t>1878600.00 to and above: 666339.00 + 45.000%</t>
        </is>
      </c>
      <c r="E16" s="14" t="inlineStr">
        <is>
          <t>SARS Rates of Tax for Individuals, 2027 tax year (1 March 2026 - 28 February 2027)</t>
        </is>
      </c>
      <c r="F16" s="14" t="inlineStr">
        <is>
          <t>https://www.sars.gov.za/tax-rates/income-tax/rates-of-tax-for-individuals/</t>
        </is>
      </c>
      <c r="G16" s="12" t="inlineStr"/>
      <c r="H16" s="12" t="inlineStr"/>
      <c r="I16" s="12" t="inlineStr"/>
    </row>
    <row r="17">
      <c r="A17" s="13" t="inlineStr">
        <is>
          <t>paye_rebate</t>
        </is>
      </c>
      <c r="B17" s="13" t="inlineStr">
        <is>
          <t>2026/2027 primary</t>
        </is>
      </c>
      <c r="C17" s="13" t="inlineStr">
        <is>
          <t>amount / threshold</t>
        </is>
      </c>
      <c r="D17" s="13" t="inlineStr">
        <is>
          <t>17820.00 / 99000.00</t>
        </is>
      </c>
      <c r="E17" s="14" t="inlineStr">
        <is>
          <t>SARS Rates of Tax for Individuals, 2027 tax year (1 March 2026 - 28 February 2027)</t>
        </is>
      </c>
      <c r="F17" s="14" t="inlineStr">
        <is>
          <t>https://www.sars.gov.za/tax-rates/income-tax/rates-of-tax-for-individuals/</t>
        </is>
      </c>
      <c r="G17" s="12" t="inlineStr"/>
      <c r="H17" s="12" t="inlineStr"/>
      <c r="I17" s="12" t="inlineStr"/>
    </row>
    <row r="18">
      <c r="A18" s="13" t="inlineStr">
        <is>
          <t>paye_rebate</t>
        </is>
      </c>
      <c r="B18" s="13" t="inlineStr">
        <is>
          <t>2026/2027 secondary</t>
        </is>
      </c>
      <c r="C18" s="13" t="inlineStr">
        <is>
          <t>amount / threshold</t>
        </is>
      </c>
      <c r="D18" s="13" t="inlineStr">
        <is>
          <t>9765.00 / 153250.00</t>
        </is>
      </c>
      <c r="E18" s="14" t="inlineStr">
        <is>
          <t>SARS Rates of Tax for Individuals, 2027 tax year (1 March 2026 - 28 February 2027)</t>
        </is>
      </c>
      <c r="F18" s="14" t="inlineStr">
        <is>
          <t>https://www.sars.gov.za/tax-rates/income-tax/rates-of-tax-for-individuals/</t>
        </is>
      </c>
      <c r="G18" s="12" t="inlineStr"/>
      <c r="H18" s="12" t="inlineStr"/>
      <c r="I18" s="12" t="inlineStr"/>
    </row>
    <row r="19">
      <c r="A19" s="13" t="inlineStr">
        <is>
          <t>paye_rebate</t>
        </is>
      </c>
      <c r="B19" s="13" t="inlineStr">
        <is>
          <t>2026/2027 tertiary</t>
        </is>
      </c>
      <c r="C19" s="13" t="inlineStr">
        <is>
          <t>amount / threshold</t>
        </is>
      </c>
      <c r="D19" s="13" t="inlineStr">
        <is>
          <t>3249.00 / 171300.00</t>
        </is>
      </c>
      <c r="E19" s="14" t="inlineStr">
        <is>
          <t>SARS Rates of Tax for Individuals, 2027 tax year (1 March 2026 - 28 February 2027)</t>
        </is>
      </c>
      <c r="F19" s="14" t="inlineStr">
        <is>
          <t>https://www.sars.gov.za/tax-rates/income-tax/rates-of-tax-for-individuals/</t>
        </is>
      </c>
      <c r="G19" s="12" t="inlineStr"/>
      <c r="H19" s="12" t="inlineStr"/>
      <c r="I19" s="12" t="inlineStr"/>
    </row>
    <row r="20">
      <c r="A20" s="13" t="inlineStr">
        <is>
          <t>medical_tax_credit_rate</t>
        </is>
      </c>
      <c r="B20" s="13" t="inlineStr">
        <is>
          <t>2026/2027</t>
        </is>
      </c>
      <c r="C20" s="13" t="inlineStr">
        <is>
          <t>main / first / additional</t>
        </is>
      </c>
      <c r="D20" s="13" t="inlineStr">
        <is>
          <t>376.00 / 376.00 / 254.00</t>
        </is>
      </c>
      <c r="E20" s="14" t="inlineStr">
        <is>
          <t>SARS Medical Tax Credit Rates, 2027 tax year (1 March 2026 - 28 February 2027)</t>
        </is>
      </c>
      <c r="F20" s="14" t="inlineStr">
        <is>
          <t>https://www.sars.gov.za/tax-rates/medical-tax-credit-rates/</t>
        </is>
      </c>
      <c r="G20" s="12" t="inlineStr"/>
      <c r="H20" s="12" t="inlineStr"/>
      <c r="I20" s="12" t="inlineStr"/>
    </row>
    <row r="21">
      <c r="A21" s="13" t="inlineStr">
        <is>
          <t>statutory_parameter</t>
        </is>
      </c>
      <c r="B21" s="13" t="inlineStr">
        <is>
          <t>BCEA_EARNINGS_THRESHOLD</t>
        </is>
      </c>
      <c r="C21" s="13" t="inlineStr">
        <is>
          <t>from 2026-05-01</t>
        </is>
      </c>
      <c r="D21" s="13" t="inlineStr">
        <is>
          <t>269600.900000 ZAR</t>
        </is>
      </c>
      <c r="E21" s="14" t="inlineStr">
        <is>
          <t>GN 7384, GG 54544, 17 April 2026 (Basic Conditions of Employment Act 75 of 1997, s6(3))</t>
        </is>
      </c>
      <c r="F21" s="14" t="inlineStr"/>
      <c r="G21" s="12" t="inlineStr"/>
      <c r="H21" s="12" t="inlineStr"/>
      <c r="I21" s="12" t="inlineStr"/>
    </row>
    <row r="22">
      <c r="A22" s="13" t="inlineStr">
        <is>
          <t>statutory_parameter</t>
        </is>
      </c>
      <c r="B22" s="13" t="inlineStr">
        <is>
          <t>BCEA_EARNINGS_THRESHOLD</t>
        </is>
      </c>
      <c r="C22" s="13" t="inlineStr">
        <is>
          <t>from 2025-04-01</t>
        </is>
      </c>
      <c r="D22" s="13" t="inlineStr">
        <is>
          <t>261748.450000 ZAR</t>
        </is>
      </c>
      <c r="E22" s="14" t="inlineStr">
        <is>
          <t>GN 5970, GG 52232, March 2025 (Basic Conditions of Employment Act 75 of 1997, s6(3))</t>
        </is>
      </c>
      <c r="F22" s="14" t="inlineStr"/>
      <c r="G22" s="12" t="inlineStr"/>
      <c r="H22" s="12" t="inlineStr"/>
      <c r="I22" s="12" t="inlineStr"/>
    </row>
    <row r="23">
      <c r="A23" s="13" t="inlineStr">
        <is>
          <t>statutory_parameter</t>
        </is>
      </c>
      <c r="B23" s="13" t="inlineStr">
        <is>
          <t>COIDA_ANNUAL_CEILING</t>
        </is>
      </c>
      <c r="C23" s="13" t="inlineStr">
        <is>
          <t>from 2026-03-01</t>
        </is>
      </c>
      <c r="D23" s="13" t="inlineStr">
        <is>
          <t>668000.000000 ZAR</t>
        </is>
      </c>
      <c r="E23" s="14" t="inlineStr">
        <is>
          <t>Compensation Fund maximum amount of earnings, 2026/2027 assessment year (1 March 2026 - 28 February 2027)</t>
        </is>
      </c>
      <c r="F23" s="14" t="inlineStr"/>
      <c r="G23" s="12" t="inlineStr"/>
      <c r="H23" s="12" t="inlineStr"/>
      <c r="I23" s="12" t="inlineStr"/>
    </row>
    <row r="24">
      <c r="A24" s="13" t="inlineStr">
        <is>
          <t>statutory_parameter</t>
        </is>
      </c>
      <c r="B24" s="13" t="inlineStr">
        <is>
          <t>MINIMUM_EMPLOYMENT_AGE</t>
        </is>
      </c>
      <c r="C24" s="13" t="inlineStr">
        <is>
          <t>from 1997-12-01</t>
        </is>
      </c>
      <c r="D24" s="13" t="inlineStr">
        <is>
          <t>15.000000 years</t>
        </is>
      </c>
      <c r="E24" s="14" t="inlineStr">
        <is>
          <t>Basic Conditions of Employment Act 75 of 1997, s43(1). Commencement of Chapter 6.</t>
        </is>
      </c>
      <c r="F24" s="14" t="inlineStr">
        <is>
          <t>https://www.labour.gov.za/DocumentCenter/Acts/Basic%20Conditions%20of%20Employment/Act%20-%20Basic%20Conditions%20of%20Employment.pdf</t>
        </is>
      </c>
      <c r="G24" s="12" t="inlineStr"/>
      <c r="H24" s="12" t="inlineStr"/>
      <c r="I24" s="12" t="inlineStr"/>
    </row>
    <row r="25">
      <c r="A25" s="13" t="inlineStr">
        <is>
          <t>statutory_parameter</t>
        </is>
      </c>
      <c r="B25" s="13" t="inlineStr">
        <is>
          <t>MONTHLY_TO_WEEKLY_FACTOR</t>
        </is>
      </c>
      <c r="C25" s="13" t="inlineStr">
        <is>
          <t>from 1997-12-01</t>
        </is>
      </c>
      <c r="D25" s="13" t="inlineStr">
        <is>
          <t>4.333333 ratio</t>
        </is>
      </c>
      <c r="E25" s="14" t="inlineStr">
        <is>
          <t>Basic Conditions of Employment Act 75 of 1997, s35, read with Form BCEA1A (Regulation 2), Summary of the Act</t>
        </is>
      </c>
      <c r="F25" s="14" t="inlineStr">
        <is>
          <t>https://www.wits.ac.za/media/wits-university/about-wits/documents/Form%20BCEA1A%20-%20Summary%20of%20the%20Act%20-%20English.pdf</t>
        </is>
      </c>
      <c r="G25" s="12" t="inlineStr"/>
      <c r="H25" s="12" t="inlineStr"/>
      <c r="I25" s="12" t="inlineStr"/>
    </row>
    <row r="26">
      <c r="A26" s="13" t="inlineStr">
        <is>
          <t>statutory_parameter</t>
        </is>
      </c>
      <c r="B26" s="13" t="inlineStr">
        <is>
          <t>SDL_ANNUAL_EXEMPTION</t>
        </is>
      </c>
      <c r="C26" s="13" t="inlineStr">
        <is>
          <t>from 2026-03-01</t>
        </is>
      </c>
      <c r="D26" s="13" t="inlineStr">
        <is>
          <t>500000.000000 ZAR</t>
        </is>
      </c>
      <c r="E26" s="14" t="inlineStr">
        <is>
          <t>Skills Development Levies Act 9 of 1999, s4(b)</t>
        </is>
      </c>
      <c r="F26" s="14" t="inlineStr"/>
      <c r="G26" s="12" t="inlineStr"/>
      <c r="H26" s="12" t="inlineStr"/>
      <c r="I26" s="12" t="inlineStr"/>
    </row>
    <row r="27">
      <c r="A27" s="13" t="inlineStr">
        <is>
          <t>statutory_parameter</t>
        </is>
      </c>
      <c r="B27" s="13" t="inlineStr">
        <is>
          <t>SDL_RATE_PCT</t>
        </is>
      </c>
      <c r="C27" s="13" t="inlineStr">
        <is>
          <t>from 2026-03-01</t>
        </is>
      </c>
      <c r="D27" s="13" t="inlineStr">
        <is>
          <t>1.000000 percent</t>
        </is>
      </c>
      <c r="E27" s="14" t="inlineStr">
        <is>
          <t>Skills Development Levies Act 9 of 1999, s3(1)</t>
        </is>
      </c>
      <c r="F27" s="14" t="inlineStr"/>
      <c r="G27" s="12" t="inlineStr"/>
      <c r="H27" s="12" t="inlineStr"/>
      <c r="I27" s="12" t="inlineStr"/>
    </row>
    <row r="28">
      <c r="A28" s="13" t="inlineStr">
        <is>
          <t>statutory_parameter</t>
        </is>
      </c>
      <c r="B28" s="13" t="inlineStr">
        <is>
          <t>UIF_EMPLOYEE_RATE_PCT</t>
        </is>
      </c>
      <c r="C28" s="13" t="inlineStr">
        <is>
          <t>from 2002-04-01</t>
        </is>
      </c>
      <c r="D28" s="13" t="inlineStr">
        <is>
          <t>1.000000 percent</t>
        </is>
      </c>
      <c r="E28" s="14" t="inlineStr">
        <is>
          <t>Unemployment Insurance Contributions Act 4 of 2002, s6(1)(a)</t>
        </is>
      </c>
      <c r="F28" s="14" t="inlineStr"/>
      <c r="G28" s="12" t="inlineStr"/>
      <c r="H28" s="12" t="inlineStr"/>
      <c r="I28" s="12" t="inlineStr"/>
    </row>
    <row r="29">
      <c r="A29" s="13" t="inlineStr">
        <is>
          <t>statutory_parameter</t>
        </is>
      </c>
      <c r="B29" s="13" t="inlineStr">
        <is>
          <t>UIF_EMPLOYER_RATE_PCT</t>
        </is>
      </c>
      <c r="C29" s="13" t="inlineStr">
        <is>
          <t>from 2002-04-01</t>
        </is>
      </c>
      <c r="D29" s="13" t="inlineStr">
        <is>
          <t>1.000000 percent</t>
        </is>
      </c>
      <c r="E29" s="14" t="inlineStr">
        <is>
          <t>Unemployment Insurance Contributions Act 4 of 2002, s6(1)(b)</t>
        </is>
      </c>
      <c r="F29" s="14" t="inlineStr"/>
      <c r="G29" s="12" t="inlineStr"/>
      <c r="H29" s="12" t="inlineStr"/>
      <c r="I29" s="12" t="inlineStr"/>
    </row>
    <row r="30">
      <c r="A30" s="13" t="inlineStr">
        <is>
          <t>statutory_parameter</t>
        </is>
      </c>
      <c r="B30" s="13" t="inlineStr">
        <is>
          <t>UIF_MONTHLY_CEILING</t>
        </is>
      </c>
      <c r="C30" s="13" t="inlineStr">
        <is>
          <t>from 2021-06-01</t>
        </is>
      </c>
      <c r="D30" s="13" t="inlineStr">
        <is>
          <t>17712.000000 ZAR</t>
        </is>
      </c>
      <c r="E30" s="14" t="inlineStr">
        <is>
          <t>Determination under s6(3) of the Unemployment Insurance Contributions Act 4 of 2002, published 28 May 2021, effective 1 June 2021</t>
        </is>
      </c>
      <c r="F30" s="14" t="inlineStr"/>
      <c r="G30" s="12" t="inlineStr"/>
      <c r="H30" s="12" t="inlineStr"/>
      <c r="I30" s="12" t="inlineStr"/>
    </row>
    <row r="31">
      <c r="A31" s="13" t="inlineStr">
        <is>
          <t>statutory_parameter</t>
        </is>
      </c>
      <c r="B31" s="13" t="inlineStr">
        <is>
          <t>VAT_RATE_PCT</t>
        </is>
      </c>
      <c r="C31" s="13" t="inlineStr">
        <is>
          <t>from 2026-03-01</t>
        </is>
      </c>
      <c r="D31" s="13" t="inlineStr">
        <is>
          <t>15.000000 percent</t>
        </is>
      </c>
      <c r="E31" s="14" t="inlineStr">
        <is>
          <t>Value-Added Tax Act 89 of 1991, s7(1)(a)</t>
        </is>
      </c>
      <c r="F31" s="14" t="inlineStr"/>
      <c r="G31" s="12" t="inlineStr"/>
      <c r="H31" s="12" t="inlineStr"/>
      <c r="I31" s="12" t="inlineStr"/>
    </row>
  </sheetData>
  <conditionalFormatting sqref="G5:G31">
    <cfRule type="cellIs" priority="1" operator="equal" dxfId="0">
      <formula>"Y"</formula>
    </cfRule>
    <cfRule type="cellIs" priority="2" operator="equal" dxfId="1">
      <formula>"N"</formula>
    </cfRule>
    <cfRule type="cellIs" priority="3" operator="equal" dxfId="2">
      <formula>"Query"</formula>
    </cfRule>
  </conditionalFormatting>
  <dataValidations count="1">
    <dataValidation sqref="G5:G31" showDropDown="0" showInputMessage="1" showErrorMessage="1" allowBlank="1" errorTitle="One of three answers" error="Y if the loaded figure matches the source, N if it does not, Query if you could not find the document." promptTitle="Does the loaded value agree?" prompt="Y, N or Query." type="list">
      <formula1>"Y,N,Query"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6"/>
  <sheetViews>
    <sheetView workbookViewId="0">
      <pane ySplit="4" topLeftCell="A5" activePane="bottomLeft" state="frozen"/>
      <selection pane="bottomLeft" activeCell="A1" sqref="A1"/>
    </sheetView>
  </sheetViews>
  <sheetFormatPr baseColWidth="8" defaultRowHeight="15"/>
  <cols>
    <col width="24" customWidth="1" min="1" max="1"/>
    <col width="20" customWidth="1" min="2" max="2"/>
    <col width="40" customWidth="1" min="3" max="3"/>
    <col width="16" customWidth="1" min="4" max="4"/>
    <col width="46" customWidth="1" min="5" max="5"/>
    <col width="60" customWidth="1" min="6" max="6"/>
    <col width="12" customWidth="1" min="7" max="7"/>
    <col width="18" customWidth="1" min="8" max="8"/>
    <col width="26" customWidth="1" min="9" max="9"/>
  </cols>
  <sheetData>
    <row r="1">
      <c r="A1" s="7" t="inlineStr">
        <is>
          <t>Leave, working time and termination rules</t>
        </is>
      </c>
    </row>
    <row r="2">
      <c r="A2" s="8" t="inlineStr">
        <is>
          <t>One line per column per rule set: the BCEA default, domestic (SD7) and contract cleaning (SD1). A zero can mean the statute sets no figure — read the note.</t>
        </is>
      </c>
    </row>
    <row r="4">
      <c r="A4" s="9" t="inlineStr">
        <is>
          <t>Rule set</t>
        </is>
      </c>
      <c r="B4" s="9" t="inlineStr">
        <is>
          <t>Applies to</t>
        </is>
      </c>
      <c r="C4" s="9" t="inlineStr">
        <is>
          <t>Field</t>
        </is>
      </c>
      <c r="D4" s="9" t="inlineStr">
        <is>
          <t>Loaded value</t>
        </is>
      </c>
      <c r="E4" s="9" t="inlineStr">
        <is>
          <t>Cited to</t>
        </is>
      </c>
      <c r="F4" s="9" t="inlineStr">
        <is>
          <t>Note</t>
        </is>
      </c>
      <c r="G4" s="9" t="inlineStr">
        <is>
          <t>Agrees?</t>
        </is>
      </c>
      <c r="H4" s="9" t="inlineStr">
        <is>
          <t>Correct value</t>
        </is>
      </c>
      <c r="I4" s="9" t="inlineStr">
        <is>
          <t>Where you checked</t>
        </is>
      </c>
    </row>
    <row r="5">
      <c r="A5" s="15" t="inlineStr">
        <is>
          <t>leave_rule_set</t>
        </is>
      </c>
      <c r="B5" s="15" t="inlineStr">
        <is>
          <t>BCEA default</t>
        </is>
      </c>
      <c r="C5" s="15" t="inlineStr">
        <is>
          <t>annual_leave_days_per_cycle_5day</t>
        </is>
      </c>
      <c r="D5" s="15" t="inlineStr">
        <is>
          <t>15.000</t>
        </is>
      </c>
      <c r="E5" s="16" t="inlineStr">
        <is>
          <t>Basic Conditions of Employment Act 75 of 1997, ss 20-27</t>
        </is>
      </c>
      <c r="F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5" s="12" t="inlineStr"/>
      <c r="H5" s="12" t="inlineStr"/>
      <c r="I5" s="12" t="inlineStr"/>
    </row>
    <row r="6">
      <c r="A6" s="15" t="inlineStr">
        <is>
          <t>leave_rule_set</t>
        </is>
      </c>
      <c r="B6" s="15" t="inlineStr">
        <is>
          <t>BCEA default</t>
        </is>
      </c>
      <c r="C6" s="15" t="inlineStr">
        <is>
          <t>annual_leave_days_per_cycle_6day</t>
        </is>
      </c>
      <c r="D6" s="15" t="inlineStr">
        <is>
          <t>18.000</t>
        </is>
      </c>
      <c r="E6" s="16" t="inlineStr">
        <is>
          <t>Basic Conditions of Employment Act 75 of 1997, ss 20-27</t>
        </is>
      </c>
      <c r="F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6" s="12" t="inlineStr"/>
      <c r="H6" s="12" t="inlineStr"/>
      <c r="I6" s="12" t="inlineStr"/>
    </row>
    <row r="7">
      <c r="A7" s="15" t="inlineStr">
        <is>
          <t>leave_rule_set</t>
        </is>
      </c>
      <c r="B7" s="15" t="inlineStr">
        <is>
          <t>BCEA default</t>
        </is>
      </c>
      <c r="C7" s="15" t="inlineStr">
        <is>
          <t>annual_accrual_days_per_month_5day</t>
        </is>
      </c>
      <c r="D7" s="15" t="inlineStr">
        <is>
          <t>1.250</t>
        </is>
      </c>
      <c r="E7" s="16" t="inlineStr">
        <is>
          <t>Basic Conditions of Employment Act 75 of 1997, ss 20-27</t>
        </is>
      </c>
      <c r="F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7" s="12" t="inlineStr"/>
      <c r="H7" s="12" t="inlineStr"/>
      <c r="I7" s="12" t="inlineStr"/>
    </row>
    <row r="8">
      <c r="A8" s="15" t="inlineStr">
        <is>
          <t>leave_rule_set</t>
        </is>
      </c>
      <c r="B8" s="15" t="inlineStr">
        <is>
          <t>BCEA default</t>
        </is>
      </c>
      <c r="C8" s="15" t="inlineStr">
        <is>
          <t>annual_accrual_days_per_month_6day</t>
        </is>
      </c>
      <c r="D8" s="15" t="inlineStr">
        <is>
          <t>1.500</t>
        </is>
      </c>
      <c r="E8" s="16" t="inlineStr">
        <is>
          <t>Basic Conditions of Employment Act 75 of 1997, ss 20-27</t>
        </is>
      </c>
      <c r="F8"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8" s="12" t="inlineStr"/>
      <c r="H8" s="12" t="inlineStr"/>
      <c r="I8" s="12" t="inlineStr"/>
    </row>
    <row r="9">
      <c r="A9" s="15" t="inlineStr">
        <is>
          <t>leave_rule_set</t>
        </is>
      </c>
      <c r="B9" s="15" t="inlineStr">
        <is>
          <t>BCEA default</t>
        </is>
      </c>
      <c r="C9" s="15" t="inlineStr">
        <is>
          <t>annual_accrual_ratio_days_worked</t>
        </is>
      </c>
      <c r="D9" s="15" t="inlineStr">
        <is>
          <t>17</t>
        </is>
      </c>
      <c r="E9" s="16" t="inlineStr">
        <is>
          <t>Basic Conditions of Employment Act 75 of 1997, ss 20-27</t>
        </is>
      </c>
      <c r="F9"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9" s="12" t="inlineStr"/>
      <c r="H9" s="12" t="inlineStr"/>
      <c r="I9" s="12" t="inlineStr"/>
    </row>
    <row r="10">
      <c r="A10" s="15" t="inlineStr">
        <is>
          <t>leave_rule_set</t>
        </is>
      </c>
      <c r="B10" s="15" t="inlineStr">
        <is>
          <t>BCEA default</t>
        </is>
      </c>
      <c r="C10" s="15" t="inlineStr">
        <is>
          <t>annual_accrual_ratio_hours_worked</t>
        </is>
      </c>
      <c r="D10" s="15" t="inlineStr">
        <is>
          <t>17</t>
        </is>
      </c>
      <c r="E10" s="16" t="inlineStr">
        <is>
          <t>Basic Conditions of Employment Act 75 of 1997, ss 20-27</t>
        </is>
      </c>
      <c r="F10"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0" s="12" t="inlineStr"/>
      <c r="H10" s="12" t="inlineStr"/>
      <c r="I10" s="12" t="inlineStr"/>
    </row>
    <row r="11">
      <c r="A11" s="15" t="inlineStr">
        <is>
          <t>leave_rule_set</t>
        </is>
      </c>
      <c r="B11" s="15" t="inlineStr">
        <is>
          <t>BCEA default</t>
        </is>
      </c>
      <c r="C11" s="15" t="inlineStr">
        <is>
          <t>annual_leave_cycle_months</t>
        </is>
      </c>
      <c r="D11" s="15" t="inlineStr">
        <is>
          <t>12</t>
        </is>
      </c>
      <c r="E11" s="16" t="inlineStr">
        <is>
          <t>Basic Conditions of Employment Act 75 of 1997, ss 20-27</t>
        </is>
      </c>
      <c r="F11"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1" s="12" t="inlineStr"/>
      <c r="H11" s="12" t="inlineStr"/>
      <c r="I11" s="12" t="inlineStr"/>
    </row>
    <row r="12">
      <c r="A12" s="15" t="inlineStr">
        <is>
          <t>leave_rule_set</t>
        </is>
      </c>
      <c r="B12" s="15" t="inlineStr">
        <is>
          <t>BCEA default</t>
        </is>
      </c>
      <c r="C12" s="15" t="inlineStr">
        <is>
          <t>annual_leave_forfeit_months</t>
        </is>
      </c>
      <c r="D12" s="15" t="inlineStr">
        <is>
          <t>6</t>
        </is>
      </c>
      <c r="E12" s="16" t="inlineStr">
        <is>
          <t>Basic Conditions of Employment Act 75 of 1997, ss 20-27</t>
        </is>
      </c>
      <c r="F12"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2" s="12" t="inlineStr"/>
      <c r="H12" s="12" t="inlineStr"/>
      <c r="I12" s="12" t="inlineStr"/>
    </row>
    <row r="13">
      <c r="A13" s="15" t="inlineStr">
        <is>
          <t>leave_rule_set</t>
        </is>
      </c>
      <c r="B13" s="15" t="inlineStr">
        <is>
          <t>BCEA default</t>
        </is>
      </c>
      <c r="C13" s="15" t="inlineStr">
        <is>
          <t>annual_leave_payable_on_termination</t>
        </is>
      </c>
      <c r="D13" s="15" t="inlineStr">
        <is>
          <t>True</t>
        </is>
      </c>
      <c r="E13" s="16" t="inlineStr">
        <is>
          <t>Basic Conditions of Employment Act 75 of 1997, ss 20-27</t>
        </is>
      </c>
      <c r="F13"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3" s="12" t="inlineStr"/>
      <c r="H13" s="12" t="inlineStr"/>
      <c r="I13" s="12" t="inlineStr"/>
    </row>
    <row r="14">
      <c r="A14" s="15" t="inlineStr">
        <is>
          <t>leave_rule_set</t>
        </is>
      </c>
      <c r="B14" s="15" t="inlineStr">
        <is>
          <t>BCEA default</t>
        </is>
      </c>
      <c r="C14" s="15" t="inlineStr">
        <is>
          <t>sick_leave_cycle_months</t>
        </is>
      </c>
      <c r="D14" s="15" t="inlineStr">
        <is>
          <t>36</t>
        </is>
      </c>
      <c r="E14" s="16" t="inlineStr">
        <is>
          <t>Basic Conditions of Employment Act 75 of 1997, ss 20-27</t>
        </is>
      </c>
      <c r="F14"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4" s="12" t="inlineStr"/>
      <c r="H14" s="12" t="inlineStr"/>
      <c r="I14" s="12" t="inlineStr"/>
    </row>
    <row r="15">
      <c r="A15" s="15" t="inlineStr">
        <is>
          <t>leave_rule_set</t>
        </is>
      </c>
      <c r="B15" s="15" t="inlineStr">
        <is>
          <t>BCEA default</t>
        </is>
      </c>
      <c r="C15" s="15" t="inlineStr">
        <is>
          <t>sick_leave_weeks_equivalent</t>
        </is>
      </c>
      <c r="D15" s="15" t="inlineStr">
        <is>
          <t>6.00</t>
        </is>
      </c>
      <c r="E15" s="16" t="inlineStr">
        <is>
          <t>Basic Conditions of Employment Act 75 of 1997, ss 20-27</t>
        </is>
      </c>
      <c r="F1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5" s="12" t="inlineStr"/>
      <c r="H15" s="12" t="inlineStr"/>
      <c r="I15" s="12" t="inlineStr"/>
    </row>
    <row r="16">
      <c r="A16" s="15" t="inlineStr">
        <is>
          <t>leave_rule_set</t>
        </is>
      </c>
      <c r="B16" s="15" t="inlineStr">
        <is>
          <t>BCEA default</t>
        </is>
      </c>
      <c r="C16" s="15" t="inlineStr">
        <is>
          <t>sick_leave_first_six_months_ratio</t>
        </is>
      </c>
      <c r="D16" s="15" t="inlineStr">
        <is>
          <t>26</t>
        </is>
      </c>
      <c r="E16" s="16" t="inlineStr">
        <is>
          <t>Basic Conditions of Employment Act 75 of 1997, ss 20-27</t>
        </is>
      </c>
      <c r="F1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6" s="12" t="inlineStr"/>
      <c r="H16" s="12" t="inlineStr"/>
      <c r="I16" s="12" t="inlineStr"/>
    </row>
    <row r="17">
      <c r="A17" s="15" t="inlineStr">
        <is>
          <t>leave_rule_set</t>
        </is>
      </c>
      <c r="B17" s="15" t="inlineStr">
        <is>
          <t>BCEA default</t>
        </is>
      </c>
      <c r="C17" s="15" t="inlineStr">
        <is>
          <t>sick_leave_payable_on_termination</t>
        </is>
      </c>
      <c r="D17" s="15" t="inlineStr">
        <is>
          <t>False</t>
        </is>
      </c>
      <c r="E17" s="16" t="inlineStr">
        <is>
          <t>Basic Conditions of Employment Act 75 of 1997, ss 20-27</t>
        </is>
      </c>
      <c r="F1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7" s="12" t="inlineStr"/>
      <c r="H17" s="12" t="inlineStr"/>
      <c r="I17" s="12" t="inlineStr"/>
    </row>
    <row r="18">
      <c r="A18" s="15" t="inlineStr">
        <is>
          <t>leave_rule_set</t>
        </is>
      </c>
      <c r="B18" s="15" t="inlineStr">
        <is>
          <t>BCEA default</t>
        </is>
      </c>
      <c r="C18" s="15" t="inlineStr">
        <is>
          <t>family_responsibility_days</t>
        </is>
      </c>
      <c r="D18" s="15" t="inlineStr">
        <is>
          <t>3</t>
        </is>
      </c>
      <c r="E18" s="16" t="inlineStr">
        <is>
          <t>Basic Conditions of Employment Act 75 of 1997, ss 20-27</t>
        </is>
      </c>
      <c r="F18"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8" s="12" t="inlineStr"/>
      <c r="H18" s="12" t="inlineStr"/>
      <c r="I18" s="12" t="inlineStr"/>
    </row>
    <row r="19">
      <c r="A19" s="15" t="inlineStr">
        <is>
          <t>leave_rule_set</t>
        </is>
      </c>
      <c r="B19" s="15" t="inlineStr">
        <is>
          <t>BCEA default</t>
        </is>
      </c>
      <c r="C19" s="15" t="inlineStr">
        <is>
          <t>family_resp_min_service_months</t>
        </is>
      </c>
      <c r="D19" s="15" t="inlineStr">
        <is>
          <t>4</t>
        </is>
      </c>
      <c r="E19" s="16" t="inlineStr">
        <is>
          <t>Basic Conditions of Employment Act 75 of 1997, ss 20-27</t>
        </is>
      </c>
      <c r="F19"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19" s="12" t="inlineStr"/>
      <c r="H19" s="12" t="inlineStr"/>
      <c r="I19" s="12" t="inlineStr"/>
    </row>
    <row r="20">
      <c r="A20" s="15" t="inlineStr">
        <is>
          <t>leave_rule_set</t>
        </is>
      </c>
      <c r="B20" s="15" t="inlineStr">
        <is>
          <t>BCEA default</t>
        </is>
      </c>
      <c r="C20" s="15" t="inlineStr">
        <is>
          <t>family_resp_min_days_per_week</t>
        </is>
      </c>
      <c r="D20" s="15" t="inlineStr">
        <is>
          <t>4</t>
        </is>
      </c>
      <c r="E20" s="16" t="inlineStr">
        <is>
          <t>Basic Conditions of Employment Act 75 of 1997, ss 20-27</t>
        </is>
      </c>
      <c r="F20"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20" s="12" t="inlineStr"/>
      <c r="H20" s="12" t="inlineStr"/>
      <c r="I20" s="12" t="inlineStr"/>
    </row>
    <row r="21">
      <c r="A21" s="15" t="inlineStr">
        <is>
          <t>leave_rule_set</t>
        </is>
      </c>
      <c r="B21" s="15" t="inlineStr">
        <is>
          <t>BCEA default</t>
        </is>
      </c>
      <c r="C21" s="15" t="inlineStr">
        <is>
          <t>parental_leave_total_months</t>
        </is>
      </c>
      <c r="D21" s="15" t="inlineStr">
        <is>
          <t>4</t>
        </is>
      </c>
      <c r="E21" s="16" t="inlineStr">
        <is>
          <t>Basic Conditions of Employment Act 75 of 1997, ss 20-27</t>
        </is>
      </c>
      <c r="F21"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21" s="12" t="inlineStr"/>
      <c r="H21" s="12" t="inlineStr"/>
      <c r="I21" s="12" t="inlineStr"/>
    </row>
    <row r="22">
      <c r="A22" s="15" t="inlineStr">
        <is>
          <t>leave_rule_set</t>
        </is>
      </c>
      <c r="B22" s="15" t="inlineStr">
        <is>
          <t>BCEA default</t>
        </is>
      </c>
      <c r="C22" s="15" t="inlineStr">
        <is>
          <t>parental_leave_additional_days</t>
        </is>
      </c>
      <c r="D22" s="15" t="inlineStr">
        <is>
          <t>10</t>
        </is>
      </c>
      <c r="E22" s="16" t="inlineStr">
        <is>
          <t>Basic Conditions of Employment Act 75 of 1997, ss 20-27</t>
        </is>
      </c>
      <c r="F22"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22" s="12" t="inlineStr"/>
      <c r="H22" s="12" t="inlineStr"/>
      <c r="I22" s="12" t="inlineStr"/>
    </row>
    <row r="23">
      <c r="A23" s="15" t="inlineStr">
        <is>
          <t>leave_rule_set</t>
        </is>
      </c>
      <c r="B23" s="15" t="inlineStr">
        <is>
          <t>BCEA default</t>
        </is>
      </c>
      <c r="C23" s="15" t="inlineStr">
        <is>
          <t>parental_leave_shareable</t>
        </is>
      </c>
      <c r="D23" s="15" t="inlineStr">
        <is>
          <t>True</t>
        </is>
      </c>
      <c r="E23" s="16" t="inlineStr">
        <is>
          <t>Basic Conditions of Employment Act 75 of 1997, ss 20-27</t>
        </is>
      </c>
      <c r="F23"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23" s="12" t="inlineStr"/>
      <c r="H23" s="12" t="inlineStr"/>
      <c r="I23" s="12" t="inlineStr"/>
    </row>
    <row r="24">
      <c r="A24" s="15" t="inlineStr">
        <is>
          <t>leave_rule_set</t>
        </is>
      </c>
      <c r="B24" s="15" t="inlineStr">
        <is>
          <t>BCEA default</t>
        </is>
      </c>
      <c r="C24" s="15" t="inlineStr">
        <is>
          <t>maternity_earliest_start_weeks_before_birth</t>
        </is>
      </c>
      <c r="D24" s="15" t="inlineStr">
        <is>
          <t>4</t>
        </is>
      </c>
      <c r="E24" s="16" t="inlineStr">
        <is>
          <t>Basic Conditions of Employment Act 75 of 1997, ss 20-27</t>
        </is>
      </c>
      <c r="F24"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24" s="12" t="inlineStr"/>
      <c r="H24" s="12" t="inlineStr"/>
      <c r="I24" s="12" t="inlineStr"/>
    </row>
    <row r="25">
      <c r="A25" s="15" t="inlineStr">
        <is>
          <t>leave_rule_set</t>
        </is>
      </c>
      <c r="B25" s="15" t="inlineStr">
        <is>
          <t>BCEA default</t>
        </is>
      </c>
      <c r="C25" s="15" t="inlineStr">
        <is>
          <t>maternity_no_work_weeks_after_birth</t>
        </is>
      </c>
      <c r="D25" s="15" t="inlineStr">
        <is>
          <t>6</t>
        </is>
      </c>
      <c r="E25" s="16" t="inlineStr">
        <is>
          <t>Basic Conditions of Employment Act 75 of 1997, ss 20-27</t>
        </is>
      </c>
      <c r="F2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is>
      </c>
      <c r="G25" s="12" t="inlineStr"/>
      <c r="H25" s="12" t="inlineStr"/>
      <c r="I25" s="12" t="inlineStr"/>
    </row>
    <row r="26">
      <c r="A26" s="15" t="inlineStr">
        <is>
          <t>leave_rule_set</t>
        </is>
      </c>
      <c r="B26" s="15" t="inlineStr">
        <is>
          <t>DOMESTIC</t>
        </is>
      </c>
      <c r="C26" s="15" t="inlineStr">
        <is>
          <t>annual_leave_days_per_cycle_5day</t>
        </is>
      </c>
      <c r="D26" s="15" t="inlineStr">
        <is>
          <t>15.000</t>
        </is>
      </c>
      <c r="E26" s="16" t="inlineStr">
        <is>
          <t>Sectoral Determination 7: Domestic Worker Sector, published in Regulation Gazette No. 7434 (consolidated text), read with Basic Conditions of Employment Act 75 of 1997 ss 20-27</t>
        </is>
      </c>
      <c r="F2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26" s="12" t="inlineStr"/>
      <c r="H26" s="12" t="inlineStr"/>
      <c r="I26" s="12" t="inlineStr"/>
    </row>
    <row r="27">
      <c r="A27" s="15" t="inlineStr">
        <is>
          <t>leave_rule_set</t>
        </is>
      </c>
      <c r="B27" s="15" t="inlineStr">
        <is>
          <t>DOMESTIC</t>
        </is>
      </c>
      <c r="C27" s="15" t="inlineStr">
        <is>
          <t>annual_leave_days_per_cycle_6day</t>
        </is>
      </c>
      <c r="D27" s="15" t="inlineStr">
        <is>
          <t>18.000</t>
        </is>
      </c>
      <c r="E27" s="16" t="inlineStr">
        <is>
          <t>Sectoral Determination 7: Domestic Worker Sector, published in Regulation Gazette No. 7434 (consolidated text), read with Basic Conditions of Employment Act 75 of 1997 ss 20-27</t>
        </is>
      </c>
      <c r="F2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27" s="12" t="inlineStr"/>
      <c r="H27" s="12" t="inlineStr"/>
      <c r="I27" s="12" t="inlineStr"/>
    </row>
    <row r="28">
      <c r="A28" s="15" t="inlineStr">
        <is>
          <t>leave_rule_set</t>
        </is>
      </c>
      <c r="B28" s="15" t="inlineStr">
        <is>
          <t>DOMESTIC</t>
        </is>
      </c>
      <c r="C28" s="15" t="inlineStr">
        <is>
          <t>annual_accrual_days_per_month_5day</t>
        </is>
      </c>
      <c r="D28" s="15" t="inlineStr">
        <is>
          <t>1.250</t>
        </is>
      </c>
      <c r="E28" s="16" t="inlineStr">
        <is>
          <t>Sectoral Determination 7: Domestic Worker Sector, published in Regulation Gazette No. 7434 (consolidated text), read with Basic Conditions of Employment Act 75 of 1997 ss 20-27</t>
        </is>
      </c>
      <c r="F28"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28" s="12" t="inlineStr"/>
      <c r="H28" s="12" t="inlineStr"/>
      <c r="I28" s="12" t="inlineStr"/>
    </row>
    <row r="29">
      <c r="A29" s="15" t="inlineStr">
        <is>
          <t>leave_rule_set</t>
        </is>
      </c>
      <c r="B29" s="15" t="inlineStr">
        <is>
          <t>DOMESTIC</t>
        </is>
      </c>
      <c r="C29" s="15" t="inlineStr">
        <is>
          <t>annual_accrual_days_per_month_6day</t>
        </is>
      </c>
      <c r="D29" s="15" t="inlineStr">
        <is>
          <t>1.500</t>
        </is>
      </c>
      <c r="E29" s="16" t="inlineStr">
        <is>
          <t>Sectoral Determination 7: Domestic Worker Sector, published in Regulation Gazette No. 7434 (consolidated text), read with Basic Conditions of Employment Act 75 of 1997 ss 20-27</t>
        </is>
      </c>
      <c r="F29"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29" s="12" t="inlineStr"/>
      <c r="H29" s="12" t="inlineStr"/>
      <c r="I29" s="12" t="inlineStr"/>
    </row>
    <row r="30">
      <c r="A30" s="15" t="inlineStr">
        <is>
          <t>leave_rule_set</t>
        </is>
      </c>
      <c r="B30" s="15" t="inlineStr">
        <is>
          <t>DOMESTIC</t>
        </is>
      </c>
      <c r="C30" s="15" t="inlineStr">
        <is>
          <t>annual_accrual_ratio_days_worked</t>
        </is>
      </c>
      <c r="D30" s="15" t="inlineStr">
        <is>
          <t>17</t>
        </is>
      </c>
      <c r="E30" s="16" t="inlineStr">
        <is>
          <t>Sectoral Determination 7: Domestic Worker Sector, published in Regulation Gazette No. 7434 (consolidated text), read with Basic Conditions of Employment Act 75 of 1997 ss 20-27</t>
        </is>
      </c>
      <c r="F30"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0" s="12" t="inlineStr"/>
      <c r="H30" s="12" t="inlineStr"/>
      <c r="I30" s="12" t="inlineStr"/>
    </row>
    <row r="31">
      <c r="A31" s="15" t="inlineStr">
        <is>
          <t>leave_rule_set</t>
        </is>
      </c>
      <c r="B31" s="15" t="inlineStr">
        <is>
          <t>DOMESTIC</t>
        </is>
      </c>
      <c r="C31" s="15" t="inlineStr">
        <is>
          <t>annual_accrual_ratio_hours_worked</t>
        </is>
      </c>
      <c r="D31" s="15" t="inlineStr">
        <is>
          <t>17</t>
        </is>
      </c>
      <c r="E31" s="16" t="inlineStr">
        <is>
          <t>Sectoral Determination 7: Domestic Worker Sector, published in Regulation Gazette No. 7434 (consolidated text), read with Basic Conditions of Employment Act 75 of 1997 ss 20-27</t>
        </is>
      </c>
      <c r="F31"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1" s="12" t="inlineStr"/>
      <c r="H31" s="12" t="inlineStr"/>
      <c r="I31" s="12" t="inlineStr"/>
    </row>
    <row r="32">
      <c r="A32" s="15" t="inlineStr">
        <is>
          <t>leave_rule_set</t>
        </is>
      </c>
      <c r="B32" s="15" t="inlineStr">
        <is>
          <t>DOMESTIC</t>
        </is>
      </c>
      <c r="C32" s="15" t="inlineStr">
        <is>
          <t>annual_leave_cycle_months</t>
        </is>
      </c>
      <c r="D32" s="15" t="inlineStr">
        <is>
          <t>12</t>
        </is>
      </c>
      <c r="E32" s="16" t="inlineStr">
        <is>
          <t>Sectoral Determination 7: Domestic Worker Sector, published in Regulation Gazette No. 7434 (consolidated text), read with Basic Conditions of Employment Act 75 of 1997 ss 20-27</t>
        </is>
      </c>
      <c r="F32"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2" s="12" t="inlineStr"/>
      <c r="H32" s="12" t="inlineStr"/>
      <c r="I32" s="12" t="inlineStr"/>
    </row>
    <row r="33">
      <c r="A33" s="15" t="inlineStr">
        <is>
          <t>leave_rule_set</t>
        </is>
      </c>
      <c r="B33" s="15" t="inlineStr">
        <is>
          <t>DOMESTIC</t>
        </is>
      </c>
      <c r="C33" s="15" t="inlineStr">
        <is>
          <t>annual_leave_forfeit_months</t>
        </is>
      </c>
      <c r="D33" s="15" t="inlineStr">
        <is>
          <t>6</t>
        </is>
      </c>
      <c r="E33" s="16" t="inlineStr">
        <is>
          <t>Sectoral Determination 7: Domestic Worker Sector, published in Regulation Gazette No. 7434 (consolidated text), read with Basic Conditions of Employment Act 75 of 1997 ss 20-27</t>
        </is>
      </c>
      <c r="F33"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3" s="12" t="inlineStr"/>
      <c r="H33" s="12" t="inlineStr"/>
      <c r="I33" s="12" t="inlineStr"/>
    </row>
    <row r="34">
      <c r="A34" s="15" t="inlineStr">
        <is>
          <t>leave_rule_set</t>
        </is>
      </c>
      <c r="B34" s="15" t="inlineStr">
        <is>
          <t>DOMESTIC</t>
        </is>
      </c>
      <c r="C34" s="15" t="inlineStr">
        <is>
          <t>annual_leave_payable_on_termination</t>
        </is>
      </c>
      <c r="D34" s="15" t="inlineStr">
        <is>
          <t>True</t>
        </is>
      </c>
      <c r="E34" s="16" t="inlineStr">
        <is>
          <t>Sectoral Determination 7: Domestic Worker Sector, published in Regulation Gazette No. 7434 (consolidated text), read with Basic Conditions of Employment Act 75 of 1997 ss 20-27</t>
        </is>
      </c>
      <c r="F34"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4" s="12" t="inlineStr"/>
      <c r="H34" s="12" t="inlineStr"/>
      <c r="I34" s="12" t="inlineStr"/>
    </row>
    <row r="35">
      <c r="A35" s="15" t="inlineStr">
        <is>
          <t>leave_rule_set</t>
        </is>
      </c>
      <c r="B35" s="15" t="inlineStr">
        <is>
          <t>DOMESTIC</t>
        </is>
      </c>
      <c r="C35" s="15" t="inlineStr">
        <is>
          <t>sick_leave_cycle_months</t>
        </is>
      </c>
      <c r="D35" s="15" t="inlineStr">
        <is>
          <t>36</t>
        </is>
      </c>
      <c r="E35" s="16" t="inlineStr">
        <is>
          <t>Sectoral Determination 7: Domestic Worker Sector, published in Regulation Gazette No. 7434 (consolidated text), read with Basic Conditions of Employment Act 75 of 1997 ss 20-27</t>
        </is>
      </c>
      <c r="F3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5" s="12" t="inlineStr"/>
      <c r="H35" s="12" t="inlineStr"/>
      <c r="I35" s="12" t="inlineStr"/>
    </row>
    <row r="36">
      <c r="A36" s="15" t="inlineStr">
        <is>
          <t>leave_rule_set</t>
        </is>
      </c>
      <c r="B36" s="15" t="inlineStr">
        <is>
          <t>DOMESTIC</t>
        </is>
      </c>
      <c r="C36" s="15" t="inlineStr">
        <is>
          <t>sick_leave_weeks_equivalent</t>
        </is>
      </c>
      <c r="D36" s="15" t="inlineStr">
        <is>
          <t>6.00</t>
        </is>
      </c>
      <c r="E36" s="16" t="inlineStr">
        <is>
          <t>Sectoral Determination 7: Domestic Worker Sector, published in Regulation Gazette No. 7434 (consolidated text), read with Basic Conditions of Employment Act 75 of 1997 ss 20-27</t>
        </is>
      </c>
      <c r="F3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6" s="12" t="inlineStr"/>
      <c r="H36" s="12" t="inlineStr"/>
      <c r="I36" s="12" t="inlineStr"/>
    </row>
    <row r="37">
      <c r="A37" s="15" t="inlineStr">
        <is>
          <t>leave_rule_set</t>
        </is>
      </c>
      <c r="B37" s="15" t="inlineStr">
        <is>
          <t>DOMESTIC</t>
        </is>
      </c>
      <c r="C37" s="15" t="inlineStr">
        <is>
          <t>sick_leave_first_six_months_ratio</t>
        </is>
      </c>
      <c r="D37" s="15" t="inlineStr">
        <is>
          <t>26</t>
        </is>
      </c>
      <c r="E37" s="16" t="inlineStr">
        <is>
          <t>Sectoral Determination 7: Domestic Worker Sector, published in Regulation Gazette No. 7434 (consolidated text), read with Basic Conditions of Employment Act 75 of 1997 ss 20-27</t>
        </is>
      </c>
      <c r="F3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7" s="12" t="inlineStr"/>
      <c r="H37" s="12" t="inlineStr"/>
      <c r="I37" s="12" t="inlineStr"/>
    </row>
    <row r="38">
      <c r="A38" s="15" t="inlineStr">
        <is>
          <t>leave_rule_set</t>
        </is>
      </c>
      <c r="B38" s="15" t="inlineStr">
        <is>
          <t>DOMESTIC</t>
        </is>
      </c>
      <c r="C38" s="15" t="inlineStr">
        <is>
          <t>sick_leave_payable_on_termination</t>
        </is>
      </c>
      <c r="D38" s="15" t="inlineStr">
        <is>
          <t>False</t>
        </is>
      </c>
      <c r="E38" s="16" t="inlineStr">
        <is>
          <t>Sectoral Determination 7: Domestic Worker Sector, published in Regulation Gazette No. 7434 (consolidated text), read with Basic Conditions of Employment Act 75 of 1997 ss 20-27</t>
        </is>
      </c>
      <c r="F38"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8" s="12" t="inlineStr"/>
      <c r="H38" s="12" t="inlineStr"/>
      <c r="I38" s="12" t="inlineStr"/>
    </row>
    <row r="39">
      <c r="A39" s="15" t="inlineStr">
        <is>
          <t>leave_rule_set</t>
        </is>
      </c>
      <c r="B39" s="15" t="inlineStr">
        <is>
          <t>DOMESTIC</t>
        </is>
      </c>
      <c r="C39" s="15" t="inlineStr">
        <is>
          <t>family_responsibility_days</t>
        </is>
      </c>
      <c r="D39" s="15" t="inlineStr">
        <is>
          <t>5</t>
        </is>
      </c>
      <c r="E39" s="16" t="inlineStr">
        <is>
          <t>Sectoral Determination 7: Domestic Worker Sector, published in Regulation Gazette No. 7434 (consolidated text), read with Basic Conditions of Employment Act 75 of 1997 ss 20-27</t>
        </is>
      </c>
      <c r="F39"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39" s="12" t="inlineStr"/>
      <c r="H39" s="12" t="inlineStr"/>
      <c r="I39" s="12" t="inlineStr"/>
    </row>
    <row r="40">
      <c r="A40" s="15" t="inlineStr">
        <is>
          <t>leave_rule_set</t>
        </is>
      </c>
      <c r="B40" s="15" t="inlineStr">
        <is>
          <t>DOMESTIC</t>
        </is>
      </c>
      <c r="C40" s="15" t="inlineStr">
        <is>
          <t>family_resp_min_service_months</t>
        </is>
      </c>
      <c r="D40" s="15" t="inlineStr">
        <is>
          <t>4</t>
        </is>
      </c>
      <c r="E40" s="16" t="inlineStr">
        <is>
          <t>Sectoral Determination 7: Domestic Worker Sector, published in Regulation Gazette No. 7434 (consolidated text), read with Basic Conditions of Employment Act 75 of 1997 ss 20-27</t>
        </is>
      </c>
      <c r="F40"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0" s="12" t="inlineStr"/>
      <c r="H40" s="12" t="inlineStr"/>
      <c r="I40" s="12" t="inlineStr"/>
    </row>
    <row r="41">
      <c r="A41" s="15" t="inlineStr">
        <is>
          <t>leave_rule_set</t>
        </is>
      </c>
      <c r="B41" s="15" t="inlineStr">
        <is>
          <t>DOMESTIC</t>
        </is>
      </c>
      <c r="C41" s="15" t="inlineStr">
        <is>
          <t>family_resp_min_days_per_week</t>
        </is>
      </c>
      <c r="D41" s="15" t="inlineStr">
        <is>
          <t>4</t>
        </is>
      </c>
      <c r="E41" s="16" t="inlineStr">
        <is>
          <t>Sectoral Determination 7: Domestic Worker Sector, published in Regulation Gazette No. 7434 (consolidated text), read with Basic Conditions of Employment Act 75 of 1997 ss 20-27</t>
        </is>
      </c>
      <c r="F41"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1" s="12" t="inlineStr"/>
      <c r="H41" s="12" t="inlineStr"/>
      <c r="I41" s="12" t="inlineStr"/>
    </row>
    <row r="42">
      <c r="A42" s="15" t="inlineStr">
        <is>
          <t>leave_rule_set</t>
        </is>
      </c>
      <c r="B42" s="15" t="inlineStr">
        <is>
          <t>DOMESTIC</t>
        </is>
      </c>
      <c r="C42" s="15" t="inlineStr">
        <is>
          <t>parental_leave_total_months</t>
        </is>
      </c>
      <c r="D42" s="15" t="inlineStr">
        <is>
          <t>4</t>
        </is>
      </c>
      <c r="E42" s="16" t="inlineStr">
        <is>
          <t>Sectoral Determination 7: Domestic Worker Sector, published in Regulation Gazette No. 7434 (consolidated text), read with Basic Conditions of Employment Act 75 of 1997 ss 20-27</t>
        </is>
      </c>
      <c r="F42"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2" s="12" t="inlineStr"/>
      <c r="H42" s="12" t="inlineStr"/>
      <c r="I42" s="12" t="inlineStr"/>
    </row>
    <row r="43">
      <c r="A43" s="15" t="inlineStr">
        <is>
          <t>leave_rule_set</t>
        </is>
      </c>
      <c r="B43" s="15" t="inlineStr">
        <is>
          <t>DOMESTIC</t>
        </is>
      </c>
      <c r="C43" s="15" t="inlineStr">
        <is>
          <t>parental_leave_additional_days</t>
        </is>
      </c>
      <c r="D43" s="15" t="inlineStr">
        <is>
          <t>10</t>
        </is>
      </c>
      <c r="E43" s="16" t="inlineStr">
        <is>
          <t>Sectoral Determination 7: Domestic Worker Sector, published in Regulation Gazette No. 7434 (consolidated text), read with Basic Conditions of Employment Act 75 of 1997 ss 20-27</t>
        </is>
      </c>
      <c r="F43"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3" s="12" t="inlineStr"/>
      <c r="H43" s="12" t="inlineStr"/>
      <c r="I43" s="12" t="inlineStr"/>
    </row>
    <row r="44">
      <c r="A44" s="15" t="inlineStr">
        <is>
          <t>leave_rule_set</t>
        </is>
      </c>
      <c r="B44" s="15" t="inlineStr">
        <is>
          <t>DOMESTIC</t>
        </is>
      </c>
      <c r="C44" s="15" t="inlineStr">
        <is>
          <t>parental_leave_shareable</t>
        </is>
      </c>
      <c r="D44" s="15" t="inlineStr">
        <is>
          <t>True</t>
        </is>
      </c>
      <c r="E44" s="16" t="inlineStr">
        <is>
          <t>Sectoral Determination 7: Domestic Worker Sector, published in Regulation Gazette No. 7434 (consolidated text), read with Basic Conditions of Employment Act 75 of 1997 ss 20-27</t>
        </is>
      </c>
      <c r="F44"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4" s="12" t="inlineStr"/>
      <c r="H44" s="12" t="inlineStr"/>
      <c r="I44" s="12" t="inlineStr"/>
    </row>
    <row r="45">
      <c r="A45" s="15" t="inlineStr">
        <is>
          <t>leave_rule_set</t>
        </is>
      </c>
      <c r="B45" s="15" t="inlineStr">
        <is>
          <t>DOMESTIC</t>
        </is>
      </c>
      <c r="C45" s="15" t="inlineStr">
        <is>
          <t>maternity_earliest_start_weeks_before_birth</t>
        </is>
      </c>
      <c r="D45" s="15" t="inlineStr">
        <is>
          <t>4</t>
        </is>
      </c>
      <c r="E45" s="16" t="inlineStr">
        <is>
          <t>Sectoral Determination 7: Domestic Worker Sector, published in Regulation Gazette No. 7434 (consolidated text), read with Basic Conditions of Employment Act 75 of 1997 ss 20-27</t>
        </is>
      </c>
      <c r="F4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5" s="12" t="inlineStr"/>
      <c r="H45" s="12" t="inlineStr"/>
      <c r="I45" s="12" t="inlineStr"/>
    </row>
    <row r="46">
      <c r="A46" s="15" t="inlineStr">
        <is>
          <t>leave_rule_set</t>
        </is>
      </c>
      <c r="B46" s="15" t="inlineStr">
        <is>
          <t>DOMESTIC</t>
        </is>
      </c>
      <c r="C46" s="15" t="inlineStr">
        <is>
          <t>maternity_no_work_weeks_after_birth</t>
        </is>
      </c>
      <c r="D46" s="15" t="inlineStr">
        <is>
          <t>6</t>
        </is>
      </c>
      <c r="E46" s="16" t="inlineStr">
        <is>
          <t>Sectoral Determination 7: Domestic Worker Sector, published in Regulation Gazette No. 7434 (consolidated text), read with Basic Conditions of Employment Act 75 of 1997 ss 20-27</t>
        </is>
      </c>
      <c r="F4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is>
      </c>
      <c r="G46" s="12" t="inlineStr"/>
      <c r="H46" s="12" t="inlineStr"/>
      <c r="I46" s="12" t="inlineStr"/>
    </row>
    <row r="47">
      <c r="A47" s="15" t="inlineStr">
        <is>
          <t>leave_rule_set</t>
        </is>
      </c>
      <c r="B47" s="15" t="inlineStr">
        <is>
          <t>CONTRACT_CLEANING</t>
        </is>
      </c>
      <c r="C47" s="15" t="inlineStr">
        <is>
          <t>annual_leave_days_per_cycle_5day</t>
        </is>
      </c>
      <c r="D47" s="15" t="inlineStr">
        <is>
          <t>15.000</t>
        </is>
      </c>
      <c r="E47" s="16" t="inlineStr">
        <is>
          <t>Sectoral Determination 1: Contract Cleaning Sector, current consolidated text (clauses 3, 8-24), clauses 18, 19 and 22</t>
        </is>
      </c>
      <c r="F4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47" s="12" t="inlineStr"/>
      <c r="H47" s="12" t="inlineStr"/>
      <c r="I47" s="12" t="inlineStr"/>
    </row>
    <row r="48">
      <c r="A48" s="15" t="inlineStr">
        <is>
          <t>leave_rule_set</t>
        </is>
      </c>
      <c r="B48" s="15" t="inlineStr">
        <is>
          <t>CONTRACT_CLEANING</t>
        </is>
      </c>
      <c r="C48" s="15" t="inlineStr">
        <is>
          <t>annual_leave_days_per_cycle_6day</t>
        </is>
      </c>
      <c r="D48" s="15" t="inlineStr">
        <is>
          <t>18.000</t>
        </is>
      </c>
      <c r="E48" s="16" t="inlineStr">
        <is>
          <t>Sectoral Determination 1: Contract Cleaning Sector, current consolidated text (clauses 3, 8-24), clauses 18, 19 and 22</t>
        </is>
      </c>
      <c r="F48"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48" s="12" t="inlineStr"/>
      <c r="H48" s="12" t="inlineStr"/>
      <c r="I48" s="12" t="inlineStr"/>
    </row>
    <row r="49">
      <c r="A49" s="15" t="inlineStr">
        <is>
          <t>leave_rule_set</t>
        </is>
      </c>
      <c r="B49" s="15" t="inlineStr">
        <is>
          <t>CONTRACT_CLEANING</t>
        </is>
      </c>
      <c r="C49" s="15" t="inlineStr">
        <is>
          <t>annual_accrual_days_per_month_5day</t>
        </is>
      </c>
      <c r="D49" s="15" t="inlineStr">
        <is>
          <t>1.250</t>
        </is>
      </c>
      <c r="E49" s="16" t="inlineStr">
        <is>
          <t>Sectoral Determination 1: Contract Cleaning Sector, current consolidated text (clauses 3, 8-24), clauses 18, 19 and 22</t>
        </is>
      </c>
      <c r="F49"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49" s="12" t="inlineStr"/>
      <c r="H49" s="12" t="inlineStr"/>
      <c r="I49" s="12" t="inlineStr"/>
    </row>
    <row r="50">
      <c r="A50" s="15" t="inlineStr">
        <is>
          <t>leave_rule_set</t>
        </is>
      </c>
      <c r="B50" s="15" t="inlineStr">
        <is>
          <t>CONTRACT_CLEANING</t>
        </is>
      </c>
      <c r="C50" s="15" t="inlineStr">
        <is>
          <t>annual_accrual_days_per_month_6day</t>
        </is>
      </c>
      <c r="D50" s="15" t="inlineStr">
        <is>
          <t>1.500</t>
        </is>
      </c>
      <c r="E50" s="16" t="inlineStr">
        <is>
          <t>Sectoral Determination 1: Contract Cleaning Sector, current consolidated text (clauses 3, 8-24), clauses 18, 19 and 22</t>
        </is>
      </c>
      <c r="F50"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0" s="12" t="inlineStr"/>
      <c r="H50" s="12" t="inlineStr"/>
      <c r="I50" s="12" t="inlineStr"/>
    </row>
    <row r="51">
      <c r="A51" s="15" t="inlineStr">
        <is>
          <t>leave_rule_set</t>
        </is>
      </c>
      <c r="B51" s="15" t="inlineStr">
        <is>
          <t>CONTRACT_CLEANING</t>
        </is>
      </c>
      <c r="C51" s="15" t="inlineStr">
        <is>
          <t>annual_accrual_ratio_days_worked</t>
        </is>
      </c>
      <c r="D51" s="15" t="inlineStr">
        <is>
          <t>17</t>
        </is>
      </c>
      <c r="E51" s="16" t="inlineStr">
        <is>
          <t>Sectoral Determination 1: Contract Cleaning Sector, current consolidated text (clauses 3, 8-24), clauses 18, 19 and 22</t>
        </is>
      </c>
      <c r="F51"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1" s="12" t="inlineStr"/>
      <c r="H51" s="12" t="inlineStr"/>
      <c r="I51" s="12" t="inlineStr"/>
    </row>
    <row r="52">
      <c r="A52" s="15" t="inlineStr">
        <is>
          <t>leave_rule_set</t>
        </is>
      </c>
      <c r="B52" s="15" t="inlineStr">
        <is>
          <t>CONTRACT_CLEANING</t>
        </is>
      </c>
      <c r="C52" s="15" t="inlineStr">
        <is>
          <t>annual_accrual_ratio_hours_worked</t>
        </is>
      </c>
      <c r="D52" s="15" t="inlineStr">
        <is>
          <t>17</t>
        </is>
      </c>
      <c r="E52" s="16" t="inlineStr">
        <is>
          <t>Sectoral Determination 1: Contract Cleaning Sector, current consolidated text (clauses 3, 8-24), clauses 18, 19 and 22</t>
        </is>
      </c>
      <c r="F52"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2" s="12" t="inlineStr"/>
      <c r="H52" s="12" t="inlineStr"/>
      <c r="I52" s="12" t="inlineStr"/>
    </row>
    <row r="53">
      <c r="A53" s="15" t="inlineStr">
        <is>
          <t>leave_rule_set</t>
        </is>
      </c>
      <c r="B53" s="15" t="inlineStr">
        <is>
          <t>CONTRACT_CLEANING</t>
        </is>
      </c>
      <c r="C53" s="15" t="inlineStr">
        <is>
          <t>annual_leave_cycle_months</t>
        </is>
      </c>
      <c r="D53" s="15" t="inlineStr">
        <is>
          <t>12</t>
        </is>
      </c>
      <c r="E53" s="16" t="inlineStr">
        <is>
          <t>Sectoral Determination 1: Contract Cleaning Sector, current consolidated text (clauses 3, 8-24), clauses 18, 19 and 22</t>
        </is>
      </c>
      <c r="F53"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3" s="12" t="inlineStr"/>
      <c r="H53" s="12" t="inlineStr"/>
      <c r="I53" s="12" t="inlineStr"/>
    </row>
    <row r="54">
      <c r="A54" s="15" t="inlineStr">
        <is>
          <t>leave_rule_set</t>
        </is>
      </c>
      <c r="B54" s="15" t="inlineStr">
        <is>
          <t>CONTRACT_CLEANING</t>
        </is>
      </c>
      <c r="C54" s="15" t="inlineStr">
        <is>
          <t>annual_leave_forfeit_months</t>
        </is>
      </c>
      <c r="D54" s="15" t="inlineStr">
        <is>
          <t>6</t>
        </is>
      </c>
      <c r="E54" s="16" t="inlineStr">
        <is>
          <t>Sectoral Determination 1: Contract Cleaning Sector, current consolidated text (clauses 3, 8-24), clauses 18, 19 and 22</t>
        </is>
      </c>
      <c r="F54"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4" s="12" t="inlineStr"/>
      <c r="H54" s="12" t="inlineStr"/>
      <c r="I54" s="12" t="inlineStr"/>
    </row>
    <row r="55">
      <c r="A55" s="15" t="inlineStr">
        <is>
          <t>leave_rule_set</t>
        </is>
      </c>
      <c r="B55" s="15" t="inlineStr">
        <is>
          <t>CONTRACT_CLEANING</t>
        </is>
      </c>
      <c r="C55" s="15" t="inlineStr">
        <is>
          <t>annual_leave_payable_on_termination</t>
        </is>
      </c>
      <c r="D55" s="15" t="inlineStr">
        <is>
          <t>True</t>
        </is>
      </c>
      <c r="E55" s="16" t="inlineStr">
        <is>
          <t>Sectoral Determination 1: Contract Cleaning Sector, current consolidated text (clauses 3, 8-24), clauses 18, 19 and 22</t>
        </is>
      </c>
      <c r="F5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5" s="12" t="inlineStr"/>
      <c r="H55" s="12" t="inlineStr"/>
      <c r="I55" s="12" t="inlineStr"/>
    </row>
    <row r="56">
      <c r="A56" s="15" t="inlineStr">
        <is>
          <t>leave_rule_set</t>
        </is>
      </c>
      <c r="B56" s="15" t="inlineStr">
        <is>
          <t>CONTRACT_CLEANING</t>
        </is>
      </c>
      <c r="C56" s="15" t="inlineStr">
        <is>
          <t>sick_leave_cycle_months</t>
        </is>
      </c>
      <c r="D56" s="15" t="inlineStr">
        <is>
          <t>36</t>
        </is>
      </c>
      <c r="E56" s="16" t="inlineStr">
        <is>
          <t>Sectoral Determination 1: Contract Cleaning Sector, current consolidated text (clauses 3, 8-24), clauses 18, 19 and 22</t>
        </is>
      </c>
      <c r="F5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6" s="12" t="inlineStr"/>
      <c r="H56" s="12" t="inlineStr"/>
      <c r="I56" s="12" t="inlineStr"/>
    </row>
    <row r="57">
      <c r="A57" s="15" t="inlineStr">
        <is>
          <t>leave_rule_set</t>
        </is>
      </c>
      <c r="B57" s="15" t="inlineStr">
        <is>
          <t>CONTRACT_CLEANING</t>
        </is>
      </c>
      <c r="C57" s="15" t="inlineStr">
        <is>
          <t>sick_leave_weeks_equivalent</t>
        </is>
      </c>
      <c r="D57" s="15" t="inlineStr">
        <is>
          <t>6.00</t>
        </is>
      </c>
      <c r="E57" s="16" t="inlineStr">
        <is>
          <t>Sectoral Determination 1: Contract Cleaning Sector, current consolidated text (clauses 3, 8-24), clauses 18, 19 and 22</t>
        </is>
      </c>
      <c r="F5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7" s="12" t="inlineStr"/>
      <c r="H57" s="12" t="inlineStr"/>
      <c r="I57" s="12" t="inlineStr"/>
    </row>
    <row r="58">
      <c r="A58" s="15" t="inlineStr">
        <is>
          <t>leave_rule_set</t>
        </is>
      </c>
      <c r="B58" s="15" t="inlineStr">
        <is>
          <t>CONTRACT_CLEANING</t>
        </is>
      </c>
      <c r="C58" s="15" t="inlineStr">
        <is>
          <t>sick_leave_first_six_months_ratio</t>
        </is>
      </c>
      <c r="D58" s="15" t="inlineStr">
        <is>
          <t>26</t>
        </is>
      </c>
      <c r="E58" s="16" t="inlineStr">
        <is>
          <t>Sectoral Determination 1: Contract Cleaning Sector, current consolidated text (clauses 3, 8-24), clauses 18, 19 and 22</t>
        </is>
      </c>
      <c r="F58"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8" s="12" t="inlineStr"/>
      <c r="H58" s="12" t="inlineStr"/>
      <c r="I58" s="12" t="inlineStr"/>
    </row>
    <row r="59">
      <c r="A59" s="15" t="inlineStr">
        <is>
          <t>leave_rule_set</t>
        </is>
      </c>
      <c r="B59" s="15" t="inlineStr">
        <is>
          <t>CONTRACT_CLEANING</t>
        </is>
      </c>
      <c r="C59" s="15" t="inlineStr">
        <is>
          <t>sick_leave_payable_on_termination</t>
        </is>
      </c>
      <c r="D59" s="15" t="inlineStr">
        <is>
          <t>False</t>
        </is>
      </c>
      <c r="E59" s="16" t="inlineStr">
        <is>
          <t>Sectoral Determination 1: Contract Cleaning Sector, current consolidated text (clauses 3, 8-24), clauses 18, 19 and 22</t>
        </is>
      </c>
      <c r="F59"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59" s="12" t="inlineStr"/>
      <c r="H59" s="12" t="inlineStr"/>
      <c r="I59" s="12" t="inlineStr"/>
    </row>
    <row r="60">
      <c r="A60" s="15" t="inlineStr">
        <is>
          <t>leave_rule_set</t>
        </is>
      </c>
      <c r="B60" s="15" t="inlineStr">
        <is>
          <t>CONTRACT_CLEANING</t>
        </is>
      </c>
      <c r="C60" s="15" t="inlineStr">
        <is>
          <t>family_responsibility_days</t>
        </is>
      </c>
      <c r="D60" s="15" t="inlineStr">
        <is>
          <t>3</t>
        </is>
      </c>
      <c r="E60" s="16" t="inlineStr">
        <is>
          <t>Sectoral Determination 1: Contract Cleaning Sector, current consolidated text (clauses 3, 8-24), clauses 18, 19 and 22</t>
        </is>
      </c>
      <c r="F60"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0" s="12" t="inlineStr"/>
      <c r="H60" s="12" t="inlineStr"/>
      <c r="I60" s="12" t="inlineStr"/>
    </row>
    <row r="61">
      <c r="A61" s="15" t="inlineStr">
        <is>
          <t>leave_rule_set</t>
        </is>
      </c>
      <c r="B61" s="15" t="inlineStr">
        <is>
          <t>CONTRACT_CLEANING</t>
        </is>
      </c>
      <c r="C61" s="15" t="inlineStr">
        <is>
          <t>family_resp_min_service_months</t>
        </is>
      </c>
      <c r="D61" s="15" t="inlineStr">
        <is>
          <t>4</t>
        </is>
      </c>
      <c r="E61" s="16" t="inlineStr">
        <is>
          <t>Sectoral Determination 1: Contract Cleaning Sector, current consolidated text (clauses 3, 8-24), clauses 18, 19 and 22</t>
        </is>
      </c>
      <c r="F61"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1" s="12" t="inlineStr"/>
      <c r="H61" s="12" t="inlineStr"/>
      <c r="I61" s="12" t="inlineStr"/>
    </row>
    <row r="62">
      <c r="A62" s="15" t="inlineStr">
        <is>
          <t>leave_rule_set</t>
        </is>
      </c>
      <c r="B62" s="15" t="inlineStr">
        <is>
          <t>CONTRACT_CLEANING</t>
        </is>
      </c>
      <c r="C62" s="15" t="inlineStr">
        <is>
          <t>family_resp_min_days_per_week</t>
        </is>
      </c>
      <c r="D62" s="15" t="inlineStr">
        <is>
          <t>4</t>
        </is>
      </c>
      <c r="E62" s="16" t="inlineStr">
        <is>
          <t>Sectoral Determination 1: Contract Cleaning Sector, current consolidated text (clauses 3, 8-24), clauses 18, 19 and 22</t>
        </is>
      </c>
      <c r="F62"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2" s="12" t="inlineStr"/>
      <c r="H62" s="12" t="inlineStr"/>
      <c r="I62" s="12" t="inlineStr"/>
    </row>
    <row r="63">
      <c r="A63" s="15" t="inlineStr">
        <is>
          <t>leave_rule_set</t>
        </is>
      </c>
      <c r="B63" s="15" t="inlineStr">
        <is>
          <t>CONTRACT_CLEANING</t>
        </is>
      </c>
      <c r="C63" s="15" t="inlineStr">
        <is>
          <t>parental_leave_total_months</t>
        </is>
      </c>
      <c r="D63" s="15" t="inlineStr">
        <is>
          <t>4</t>
        </is>
      </c>
      <c r="E63" s="16" t="inlineStr">
        <is>
          <t>Sectoral Determination 1: Contract Cleaning Sector, current consolidated text (clauses 3, 8-24), clauses 18, 19 and 22</t>
        </is>
      </c>
      <c r="F63"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3" s="12" t="inlineStr"/>
      <c r="H63" s="12" t="inlineStr"/>
      <c r="I63" s="12" t="inlineStr"/>
    </row>
    <row r="64">
      <c r="A64" s="15" t="inlineStr">
        <is>
          <t>leave_rule_set</t>
        </is>
      </c>
      <c r="B64" s="15" t="inlineStr">
        <is>
          <t>CONTRACT_CLEANING</t>
        </is>
      </c>
      <c r="C64" s="15" t="inlineStr">
        <is>
          <t>parental_leave_additional_days</t>
        </is>
      </c>
      <c r="D64" s="15" t="inlineStr">
        <is>
          <t>10</t>
        </is>
      </c>
      <c r="E64" s="16" t="inlineStr">
        <is>
          <t>Sectoral Determination 1: Contract Cleaning Sector, current consolidated text (clauses 3, 8-24), clauses 18, 19 and 22</t>
        </is>
      </c>
      <c r="F64"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4" s="12" t="inlineStr"/>
      <c r="H64" s="12" t="inlineStr"/>
      <c r="I64" s="12" t="inlineStr"/>
    </row>
    <row r="65">
      <c r="A65" s="15" t="inlineStr">
        <is>
          <t>leave_rule_set</t>
        </is>
      </c>
      <c r="B65" s="15" t="inlineStr">
        <is>
          <t>CONTRACT_CLEANING</t>
        </is>
      </c>
      <c r="C65" s="15" t="inlineStr">
        <is>
          <t>parental_leave_shareable</t>
        </is>
      </c>
      <c r="D65" s="15" t="inlineStr">
        <is>
          <t>True</t>
        </is>
      </c>
      <c r="E65" s="16" t="inlineStr">
        <is>
          <t>Sectoral Determination 1: Contract Cleaning Sector, current consolidated text (clauses 3, 8-24), clauses 18, 19 and 22</t>
        </is>
      </c>
      <c r="F65"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5" s="12" t="inlineStr"/>
      <c r="H65" s="12" t="inlineStr"/>
      <c r="I65" s="12" t="inlineStr"/>
    </row>
    <row r="66">
      <c r="A66" s="15" t="inlineStr">
        <is>
          <t>leave_rule_set</t>
        </is>
      </c>
      <c r="B66" s="15" t="inlineStr">
        <is>
          <t>CONTRACT_CLEANING</t>
        </is>
      </c>
      <c r="C66" s="15" t="inlineStr">
        <is>
          <t>maternity_earliest_start_weeks_before_birth</t>
        </is>
      </c>
      <c r="D66" s="15" t="inlineStr">
        <is>
          <t>4</t>
        </is>
      </c>
      <c r="E66" s="16" t="inlineStr">
        <is>
          <t>Sectoral Determination 1: Contract Cleaning Sector, current consolidated text (clauses 3, 8-24), clauses 18, 19 and 22</t>
        </is>
      </c>
      <c r="F66"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6" s="12" t="inlineStr"/>
      <c r="H66" s="12" t="inlineStr"/>
      <c r="I66" s="12" t="inlineStr"/>
    </row>
    <row r="67">
      <c r="A67" s="15" t="inlineStr">
        <is>
          <t>leave_rule_set</t>
        </is>
      </c>
      <c r="B67" s="15" t="inlineStr">
        <is>
          <t>CONTRACT_CLEANING</t>
        </is>
      </c>
      <c r="C67" s="15" t="inlineStr">
        <is>
          <t>maternity_no_work_weeks_after_birth</t>
        </is>
      </c>
      <c r="D67" s="15" t="inlineStr">
        <is>
          <t>6</t>
        </is>
      </c>
      <c r="E67" s="16" t="inlineStr">
        <is>
          <t>Sectoral Determination 1: Contract Cleaning Sector, current consolidated text (clauses 3, 8-24), clauses 18, 19 and 22</t>
        </is>
      </c>
      <c r="F67" s="16" t="inlineStr">
        <is>
          <t>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is>
      </c>
      <c r="G67" s="12" t="inlineStr"/>
      <c r="H67" s="12" t="inlineStr"/>
      <c r="I67" s="12" t="inlineStr"/>
    </row>
    <row r="68">
      <c r="A68" s="10" t="inlineStr">
        <is>
          <t>working_time_rule_set</t>
        </is>
      </c>
      <c r="B68" s="10" t="inlineStr">
        <is>
          <t>DOMESTIC</t>
        </is>
      </c>
      <c r="C68" s="10" t="inlineStr">
        <is>
          <t>ordinary_hours_per_week</t>
        </is>
      </c>
      <c r="D68" s="10" t="inlineStr">
        <is>
          <t>45.00</t>
        </is>
      </c>
      <c r="E68" s="11" t="inlineStr">
        <is>
          <t>Sectoral Determination 7: Domestic Worker Sector, published in Regulation Gazette No. 7434 (consolidated text)</t>
        </is>
      </c>
      <c r="F68"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68" s="12" t="inlineStr">
        <is>
          <t>Y</t>
        </is>
      </c>
      <c r="H68" s="12" t="n"/>
      <c r="I68" s="12" t="n"/>
    </row>
    <row r="69">
      <c r="A69" s="10" t="inlineStr">
        <is>
          <t>working_time_rule_set</t>
        </is>
      </c>
      <c r="B69" s="10" t="inlineStr">
        <is>
          <t>DOMESTIC</t>
        </is>
      </c>
      <c r="C69" s="10" t="inlineStr">
        <is>
          <t>ordinary_hours_per_day_5day</t>
        </is>
      </c>
      <c r="D69" s="10" t="inlineStr">
        <is>
          <t>9.00</t>
        </is>
      </c>
      <c r="E69" s="11" t="inlineStr">
        <is>
          <t>Sectoral Determination 7: Domestic Worker Sector, published in Regulation Gazette No. 7434 (consolidated text)</t>
        </is>
      </c>
      <c r="F69"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69" s="12" t="inlineStr">
        <is>
          <t>Y</t>
        </is>
      </c>
      <c r="H69" s="12" t="n"/>
      <c r="I69" s="12" t="n"/>
    </row>
    <row r="70">
      <c r="A70" s="10" t="inlineStr">
        <is>
          <t>working_time_rule_set</t>
        </is>
      </c>
      <c r="B70" s="10" t="inlineStr">
        <is>
          <t>DOMESTIC</t>
        </is>
      </c>
      <c r="C70" s="10" t="inlineStr">
        <is>
          <t>ordinary_hours_per_day_6day</t>
        </is>
      </c>
      <c r="D70" s="10" t="inlineStr">
        <is>
          <t>8.00</t>
        </is>
      </c>
      <c r="E70" s="11" t="inlineStr">
        <is>
          <t>Sectoral Determination 7: Domestic Worker Sector, published in Regulation Gazette No. 7434 (consolidated text)</t>
        </is>
      </c>
      <c r="F70"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0" s="12" t="inlineStr">
        <is>
          <t>Y</t>
        </is>
      </c>
      <c r="H70" s="12" t="n"/>
      <c r="I70" s="12" t="n"/>
    </row>
    <row r="71">
      <c r="A71" s="10" t="inlineStr">
        <is>
          <t>working_time_rule_set</t>
        </is>
      </c>
      <c r="B71" s="10" t="inlineStr">
        <is>
          <t>DOMESTIC</t>
        </is>
      </c>
      <c r="C71" s="10" t="inlineStr">
        <is>
          <t>overtime_multiplier</t>
        </is>
      </c>
      <c r="D71" s="10" t="inlineStr">
        <is>
          <t>1.500</t>
        </is>
      </c>
      <c r="E71" s="11" t="inlineStr">
        <is>
          <t>Sectoral Determination 7: Domestic Worker Sector, published in Regulation Gazette No. 7434 (consolidated text)</t>
        </is>
      </c>
      <c r="F71"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1" s="12" t="inlineStr">
        <is>
          <t>Y</t>
        </is>
      </c>
      <c r="H71" s="12" t="n"/>
      <c r="I71" s="12" t="n"/>
    </row>
    <row r="72">
      <c r="A72" s="10" t="inlineStr">
        <is>
          <t>working_time_rule_set</t>
        </is>
      </c>
      <c r="B72" s="10" t="inlineStr">
        <is>
          <t>DOMESTIC</t>
        </is>
      </c>
      <c r="C72" s="10" t="inlineStr">
        <is>
          <t>max_overtime_hours_per_day</t>
        </is>
      </c>
      <c r="D72" s="10" t="inlineStr">
        <is>
          <t>3.00</t>
        </is>
      </c>
      <c r="E72" s="11" t="inlineStr">
        <is>
          <t>Sectoral Determination 7: Domestic Worker Sector, published in Regulation Gazette No. 7434 (consolidated text)</t>
        </is>
      </c>
      <c r="F72"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2" s="12" t="inlineStr">
        <is>
          <t>Y</t>
        </is>
      </c>
      <c r="H72" s="12" t="n"/>
      <c r="I72" s="12" t="n"/>
    </row>
    <row r="73">
      <c r="A73" s="10" t="inlineStr">
        <is>
          <t>working_time_rule_set</t>
        </is>
      </c>
      <c r="B73" s="10" t="inlineStr">
        <is>
          <t>DOMESTIC</t>
        </is>
      </c>
      <c r="C73" s="10" t="inlineStr">
        <is>
          <t>max_overtime_hours_per_week</t>
        </is>
      </c>
      <c r="D73" s="10" t="inlineStr">
        <is>
          <t>15.00</t>
        </is>
      </c>
      <c r="E73" s="11" t="inlineStr">
        <is>
          <t>Sectoral Determination 7: Domestic Worker Sector, published in Regulation Gazette No. 7434 (consolidated text)</t>
        </is>
      </c>
      <c r="F73"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3" s="12" t="inlineStr">
        <is>
          <t>Y</t>
        </is>
      </c>
      <c r="H73" s="12" t="n"/>
      <c r="I73" s="12" t="n"/>
    </row>
    <row r="74">
      <c r="A74" s="10" t="inlineStr">
        <is>
          <t>working_time_rule_set</t>
        </is>
      </c>
      <c r="B74" s="10" t="inlineStr">
        <is>
          <t>DOMESTIC</t>
        </is>
      </c>
      <c r="C74" s="10" t="inlineStr">
        <is>
          <t>sunday_multiplier_non_ordinary</t>
        </is>
      </c>
      <c r="D74" s="10" t="inlineStr">
        <is>
          <t>2.000</t>
        </is>
      </c>
      <c r="E74" s="11" t="inlineStr">
        <is>
          <t>Sectoral Determination 7: Domestic Worker Sector, published in Regulation Gazette No. 7434 (consolidated text)</t>
        </is>
      </c>
      <c r="F74"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4" s="12" t="inlineStr">
        <is>
          <t>Y</t>
        </is>
      </c>
      <c r="H74" s="12" t="n"/>
      <c r="I74" s="12" t="n"/>
    </row>
    <row r="75">
      <c r="A75" s="10" t="inlineStr">
        <is>
          <t>working_time_rule_set</t>
        </is>
      </c>
      <c r="B75" s="10" t="inlineStr">
        <is>
          <t>DOMESTIC</t>
        </is>
      </c>
      <c r="C75" s="10" t="inlineStr">
        <is>
          <t>sunday_multiplier_ordinary</t>
        </is>
      </c>
      <c r="D75" s="10" t="inlineStr">
        <is>
          <t>1.500</t>
        </is>
      </c>
      <c r="E75" s="11" t="inlineStr">
        <is>
          <t>Sectoral Determination 7: Domestic Worker Sector, published in Regulation Gazette No. 7434 (consolidated text)</t>
        </is>
      </c>
      <c r="F75"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5" s="12" t="inlineStr">
        <is>
          <t>Y</t>
        </is>
      </c>
      <c r="H75" s="12" t="n"/>
      <c r="I75" s="12" t="n"/>
    </row>
    <row r="76">
      <c r="A76" s="10" t="inlineStr">
        <is>
          <t>working_time_rule_set</t>
        </is>
      </c>
      <c r="B76" s="10" t="inlineStr">
        <is>
          <t>DOMESTIC</t>
        </is>
      </c>
      <c r="C76" s="10" t="inlineStr">
        <is>
          <t>public_holiday_worked_multiplier</t>
        </is>
      </c>
      <c r="D76" s="10" t="inlineStr">
        <is>
          <t>2.000</t>
        </is>
      </c>
      <c r="E76" s="11" t="inlineStr">
        <is>
          <t>Sectoral Determination 7: Domestic Worker Sector, published in Regulation Gazette No. 7434 (consolidated text)</t>
        </is>
      </c>
      <c r="F76"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6" s="12" t="inlineStr">
        <is>
          <t>Y</t>
        </is>
      </c>
      <c r="H76" s="12" t="n"/>
      <c r="I76" s="12" t="n"/>
    </row>
    <row r="77">
      <c r="A77" s="10" t="inlineStr">
        <is>
          <t>working_time_rule_set</t>
        </is>
      </c>
      <c r="B77" s="10" t="inlineStr">
        <is>
          <t>DOMESTIC</t>
        </is>
      </c>
      <c r="C77" s="10" t="inlineStr">
        <is>
          <t>public_holiday_not_worked_paid</t>
        </is>
      </c>
      <c r="D77" s="10" t="inlineStr">
        <is>
          <t>True</t>
        </is>
      </c>
      <c r="E77" s="11" t="inlineStr">
        <is>
          <t>Sectoral Determination 7: Domestic Worker Sector, published in Regulation Gazette No. 7434 (consolidated text)</t>
        </is>
      </c>
      <c r="F77"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7" s="12" t="inlineStr">
        <is>
          <t>Y</t>
        </is>
      </c>
      <c r="H77" s="12" t="n"/>
      <c r="I77" s="12" t="n"/>
    </row>
    <row r="78">
      <c r="A78" s="10" t="inlineStr">
        <is>
          <t>working_time_rule_set</t>
        </is>
      </c>
      <c r="B78" s="10" t="inlineStr">
        <is>
          <t>DOMESTIC</t>
        </is>
      </c>
      <c r="C78" s="10" t="inlineStr">
        <is>
          <t>night_work_start_time</t>
        </is>
      </c>
      <c r="D78" s="10" t="inlineStr">
        <is>
          <t>18:00:00</t>
        </is>
      </c>
      <c r="E78" s="11" t="inlineStr">
        <is>
          <t>Sectoral Determination 7: Domestic Worker Sector, published in Regulation Gazette No. 7434 (consolidated text)</t>
        </is>
      </c>
      <c r="F78"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8" s="12" t="inlineStr">
        <is>
          <t>Y</t>
        </is>
      </c>
      <c r="H78" s="12" t="n"/>
      <c r="I78" s="12" t="n"/>
    </row>
    <row r="79">
      <c r="A79" s="10" t="inlineStr">
        <is>
          <t>working_time_rule_set</t>
        </is>
      </c>
      <c r="B79" s="10" t="inlineStr">
        <is>
          <t>DOMESTIC</t>
        </is>
      </c>
      <c r="C79" s="10" t="inlineStr">
        <is>
          <t>night_work_end_time</t>
        </is>
      </c>
      <c r="D79" s="10" t="inlineStr">
        <is>
          <t>06:00:00</t>
        </is>
      </c>
      <c r="E79" s="11" t="inlineStr">
        <is>
          <t>Sectoral Determination 7: Domestic Worker Sector, published in Regulation Gazette No. 7434 (consolidated text)</t>
        </is>
      </c>
      <c r="F79"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79" s="12" t="inlineStr">
        <is>
          <t>Y</t>
        </is>
      </c>
      <c r="H79" s="12" t="n"/>
      <c r="I79" s="12" t="n"/>
    </row>
    <row r="80">
      <c r="A80" s="10" t="inlineStr">
        <is>
          <t>working_time_rule_set</t>
        </is>
      </c>
      <c r="B80" s="10" t="inlineStr">
        <is>
          <t>DOMESTIC</t>
        </is>
      </c>
      <c r="C80" s="10" t="inlineStr">
        <is>
          <t>night_allowance_type</t>
        </is>
      </c>
      <c r="D80" s="10" t="inlineStr">
        <is>
          <t>by_agreement</t>
        </is>
      </c>
      <c r="E80" s="11" t="inlineStr">
        <is>
          <t>Sectoral Determination 7: Domestic Worker Sector, published in Regulation Gazette No. 7434 (consolidated text)</t>
        </is>
      </c>
      <c r="F80"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0" s="12" t="inlineStr">
        <is>
          <t>Y</t>
        </is>
      </c>
      <c r="H80" s="12" t="n"/>
      <c r="I80" s="12" t="n"/>
    </row>
    <row r="81">
      <c r="A81" s="10" t="inlineStr">
        <is>
          <t>working_time_rule_set</t>
        </is>
      </c>
      <c r="B81" s="10" t="inlineStr">
        <is>
          <t>DOMESTIC</t>
        </is>
      </c>
      <c r="C81" s="10" t="inlineStr">
        <is>
          <t>night_allowance_value</t>
        </is>
      </c>
      <c r="D81" s="10" t="inlineStr">
        <is>
          <t>0.0000</t>
        </is>
      </c>
      <c r="E81" s="11" t="inlineStr">
        <is>
          <t>Sectoral Determination 7: Domestic Worker Sector, published in Regulation Gazette No. 7434 (consolidated text)</t>
        </is>
      </c>
      <c r="F81"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1" s="12" t="inlineStr">
        <is>
          <t>Y</t>
        </is>
      </c>
      <c r="H81" s="12" t="n"/>
      <c r="I81" s="12" t="inlineStr">
        <is>
          <t>SD7 / BCEA s17(2) — reviewed 13 Sep 2026. Zero means the statute names no figure; night_allowance_type carries that. See D-113.</t>
        </is>
      </c>
    </row>
    <row r="82">
      <c r="A82" s="10" t="inlineStr">
        <is>
          <t>working_time_rule_set</t>
        </is>
      </c>
      <c r="B82" s="10" t="inlineStr">
        <is>
          <t>DOMESTIC</t>
        </is>
      </c>
      <c r="C82" s="10" t="inlineStr">
        <is>
          <t>standby_allowance_per_shift</t>
        </is>
      </c>
      <c r="D82" s="10" t="inlineStr">
        <is>
          <t>20.00</t>
        </is>
      </c>
      <c r="E82" s="11" t="inlineStr">
        <is>
          <t>Sectoral Determination 7: Domestic Worker Sector, published in Regulation Gazette No. 7434 (consolidated text)</t>
        </is>
      </c>
      <c r="F82"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2" s="12" t="inlineStr">
        <is>
          <t>Y</t>
        </is>
      </c>
      <c r="H82" s="12" t="n"/>
      <c r="I82" s="12" t="n"/>
    </row>
    <row r="83">
      <c r="A83" s="10" t="inlineStr">
        <is>
          <t>working_time_rule_set</t>
        </is>
      </c>
      <c r="B83" s="10" t="inlineStr">
        <is>
          <t>DOMESTIC</t>
        </is>
      </c>
      <c r="C83" s="10" t="inlineStr">
        <is>
          <t>standby_window_start</t>
        </is>
      </c>
      <c r="D83" s="10" t="inlineStr">
        <is>
          <t>20:00:00</t>
        </is>
      </c>
      <c r="E83" s="11" t="inlineStr">
        <is>
          <t>Sectoral Determination 7: Domestic Worker Sector, published in Regulation Gazette No. 7434 (consolidated text)</t>
        </is>
      </c>
      <c r="F83"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3" s="12" t="inlineStr">
        <is>
          <t>Y</t>
        </is>
      </c>
      <c r="H83" s="12" t="n"/>
      <c r="I83" s="12" t="n"/>
    </row>
    <row r="84">
      <c r="A84" s="10" t="inlineStr">
        <is>
          <t>working_time_rule_set</t>
        </is>
      </c>
      <c r="B84" s="10" t="inlineStr">
        <is>
          <t>DOMESTIC</t>
        </is>
      </c>
      <c r="C84" s="10" t="inlineStr">
        <is>
          <t>standby_window_end</t>
        </is>
      </c>
      <c r="D84" s="10" t="inlineStr">
        <is>
          <t>06:00:00</t>
        </is>
      </c>
      <c r="E84" s="11" t="inlineStr">
        <is>
          <t>Sectoral Determination 7: Domestic Worker Sector, published in Regulation Gazette No. 7434 (consolidated text)</t>
        </is>
      </c>
      <c r="F84"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4" s="12" t="inlineStr">
        <is>
          <t>Y</t>
        </is>
      </c>
      <c r="H84" s="12" t="n"/>
      <c r="I84" s="12" t="n"/>
    </row>
    <row r="85">
      <c r="A85" s="10" t="inlineStr">
        <is>
          <t>working_time_rule_set</t>
        </is>
      </c>
      <c r="B85" s="10" t="inlineStr">
        <is>
          <t>DOMESTIC</t>
        </is>
      </c>
      <c r="C85" s="10" t="inlineStr">
        <is>
          <t>standby_hours_before_overtime</t>
        </is>
      </c>
      <c r="D85" s="10" t="inlineStr">
        <is>
          <t>3.00</t>
        </is>
      </c>
      <c r="E85" s="11" t="inlineStr">
        <is>
          <t>Sectoral Determination 7: Domestic Worker Sector, published in Regulation Gazette No. 7434 (consolidated text)</t>
        </is>
      </c>
      <c r="F85"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5" s="12" t="inlineStr">
        <is>
          <t>Y</t>
        </is>
      </c>
      <c r="H85" s="12" t="n"/>
      <c r="I85" s="12" t="n"/>
    </row>
    <row r="86">
      <c r="A86" s="10" t="inlineStr">
        <is>
          <t>working_time_rule_set</t>
        </is>
      </c>
      <c r="B86" s="10" t="inlineStr">
        <is>
          <t>DOMESTIC</t>
        </is>
      </c>
      <c r="C86" s="10" t="inlineStr">
        <is>
          <t>min_paid_hours_per_day</t>
        </is>
      </c>
      <c r="D86" s="10" t="inlineStr">
        <is>
          <t>4.00</t>
        </is>
      </c>
      <c r="E86" s="11" t="inlineStr">
        <is>
          <t>Sectoral Determination 7: Domestic Worker Sector, published in Regulation Gazette No. 7434 (consolidated text)</t>
        </is>
      </c>
      <c r="F86"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6" s="12" t="inlineStr">
        <is>
          <t>Y</t>
        </is>
      </c>
      <c r="H86" s="12" t="n"/>
      <c r="I86" s="12" t="n"/>
    </row>
    <row r="87">
      <c r="A87" s="10" t="inlineStr">
        <is>
          <t>working_time_rule_set</t>
        </is>
      </c>
      <c r="B87" s="10" t="inlineStr">
        <is>
          <t>DOMESTIC</t>
        </is>
      </c>
      <c r="C87" s="10" t="inlineStr">
        <is>
          <t>meal_interval_after_hours</t>
        </is>
      </c>
      <c r="D87" s="10" t="inlineStr">
        <is>
          <t>5.00</t>
        </is>
      </c>
      <c r="E87" s="11" t="inlineStr">
        <is>
          <t>Sectoral Determination 7: Domestic Worker Sector, published in Regulation Gazette No. 7434 (consolidated text)</t>
        </is>
      </c>
      <c r="F87"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7" s="12" t="inlineStr">
        <is>
          <t>Y</t>
        </is>
      </c>
      <c r="H87" s="12" t="n"/>
      <c r="I87" s="12" t="n"/>
    </row>
    <row r="88">
      <c r="A88" s="10" t="inlineStr">
        <is>
          <t>working_time_rule_set</t>
        </is>
      </c>
      <c r="B88" s="10" t="inlineStr">
        <is>
          <t>DOMESTIC</t>
        </is>
      </c>
      <c r="C88" s="10" t="inlineStr">
        <is>
          <t>meal_interval_minutes</t>
        </is>
      </c>
      <c r="D88" s="10" t="inlineStr">
        <is>
          <t>60</t>
        </is>
      </c>
      <c r="E88" s="11" t="inlineStr">
        <is>
          <t>Sectoral Determination 7: Domestic Worker Sector, published in Regulation Gazette No. 7434 (consolidated text)</t>
        </is>
      </c>
      <c r="F88"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8" s="12" t="inlineStr">
        <is>
          <t>Y</t>
        </is>
      </c>
      <c r="H88" s="12" t="n"/>
      <c r="I88" s="12" t="n"/>
    </row>
    <row r="89">
      <c r="A89" s="10" t="inlineStr">
        <is>
          <t>working_time_rule_set</t>
        </is>
      </c>
      <c r="B89" s="10" t="inlineStr">
        <is>
          <t>DOMESTIC</t>
        </is>
      </c>
      <c r="C89" s="10" t="inlineStr">
        <is>
          <t>daily_rest_hours</t>
        </is>
      </c>
      <c r="D89" s="10" t="inlineStr">
        <is>
          <t>12</t>
        </is>
      </c>
      <c r="E89" s="11" t="inlineStr">
        <is>
          <t>Sectoral Determination 7: Domestic Worker Sector, published in Regulation Gazette No. 7434 (consolidated text)</t>
        </is>
      </c>
      <c r="F89"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89" s="12" t="inlineStr">
        <is>
          <t>Y</t>
        </is>
      </c>
      <c r="H89" s="12" t="n"/>
      <c r="I89" s="12" t="n"/>
    </row>
    <row r="90">
      <c r="A90" s="10" t="inlineStr">
        <is>
          <t>working_time_rule_set</t>
        </is>
      </c>
      <c r="B90" s="10" t="inlineStr">
        <is>
          <t>DOMESTIC</t>
        </is>
      </c>
      <c r="C90" s="10" t="inlineStr">
        <is>
          <t>weekly_rest_hours</t>
        </is>
      </c>
      <c r="D90" s="10" t="inlineStr">
        <is>
          <t>36</t>
        </is>
      </c>
      <c r="E90" s="11" t="inlineStr">
        <is>
          <t>Sectoral Determination 7: Domestic Worker Sector, published in Regulation Gazette No. 7434 (consolidated text)</t>
        </is>
      </c>
      <c r="F90"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90" s="12" t="inlineStr">
        <is>
          <t>Y</t>
        </is>
      </c>
      <c r="H90" s="12" t="n"/>
      <c r="I90" s="12" t="n"/>
    </row>
    <row r="91">
      <c r="A91" s="10" t="inlineStr">
        <is>
          <t>working_time_rule_set</t>
        </is>
      </c>
      <c r="B91" s="10" t="inlineStr">
        <is>
          <t>DOMESTIC</t>
        </is>
      </c>
      <c r="C91" s="10" t="inlineStr">
        <is>
          <t>accommodation_deduction_max_pct</t>
        </is>
      </c>
      <c r="D91" s="10" t="inlineStr">
        <is>
          <t>10.00</t>
        </is>
      </c>
      <c r="E91" s="11" t="inlineStr">
        <is>
          <t>Sectoral Determination 7: Domestic Worker Sector, published in Regulation Gazette No. 7434 (consolidated text)</t>
        </is>
      </c>
      <c r="F91" s="11"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is>
      </c>
      <c r="G91" s="12" t="inlineStr">
        <is>
          <t>Y</t>
        </is>
      </c>
      <c r="H91" s="12" t="n"/>
      <c r="I91" s="12" t="n"/>
    </row>
    <row r="92">
      <c r="A92" s="15" t="inlineStr">
        <is>
          <t>working_time_rule_set</t>
        </is>
      </c>
      <c r="B92" s="15" t="inlineStr">
        <is>
          <t>CONTRACT_CLEANING</t>
        </is>
      </c>
      <c r="C92" s="15" t="inlineStr">
        <is>
          <t>ordinary_hours_per_week</t>
        </is>
      </c>
      <c r="D92" s="15" t="inlineStr">
        <is>
          <t>45.00</t>
        </is>
      </c>
      <c r="E92" s="16" t="inlineStr">
        <is>
          <t>Sectoral Determination 1: Contract Cleaning Sector, current consolidated text (clauses 3, 8-24), clauses 3(2), 8 to 17</t>
        </is>
      </c>
      <c r="F92"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2" s="12" t="inlineStr"/>
      <c r="H92" s="12" t="inlineStr"/>
      <c r="I92" s="12" t="inlineStr"/>
    </row>
    <row r="93">
      <c r="A93" s="15" t="inlineStr">
        <is>
          <t>working_time_rule_set</t>
        </is>
      </c>
      <c r="B93" s="15" t="inlineStr">
        <is>
          <t>CONTRACT_CLEANING</t>
        </is>
      </c>
      <c r="C93" s="15" t="inlineStr">
        <is>
          <t>ordinary_hours_per_day_5day</t>
        </is>
      </c>
      <c r="D93" s="15" t="inlineStr">
        <is>
          <t>9.00</t>
        </is>
      </c>
      <c r="E93" s="16" t="inlineStr">
        <is>
          <t>Sectoral Determination 1: Contract Cleaning Sector, current consolidated text (clauses 3, 8-24), clauses 3(2), 8 to 17</t>
        </is>
      </c>
      <c r="F93"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3" s="12" t="inlineStr"/>
      <c r="H93" s="12" t="inlineStr"/>
      <c r="I93" s="12" t="inlineStr"/>
    </row>
    <row r="94">
      <c r="A94" s="15" t="inlineStr">
        <is>
          <t>working_time_rule_set</t>
        </is>
      </c>
      <c r="B94" s="15" t="inlineStr">
        <is>
          <t>CONTRACT_CLEANING</t>
        </is>
      </c>
      <c r="C94" s="15" t="inlineStr">
        <is>
          <t>ordinary_hours_per_day_6day</t>
        </is>
      </c>
      <c r="D94" s="15" t="inlineStr">
        <is>
          <t>8.00</t>
        </is>
      </c>
      <c r="E94" s="16" t="inlineStr">
        <is>
          <t>Sectoral Determination 1: Contract Cleaning Sector, current consolidated text (clauses 3, 8-24), clauses 3(2), 8 to 17</t>
        </is>
      </c>
      <c r="F94"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4" s="12" t="inlineStr"/>
      <c r="H94" s="12" t="inlineStr"/>
      <c r="I94" s="12" t="inlineStr"/>
    </row>
    <row r="95">
      <c r="A95" s="15" t="inlineStr">
        <is>
          <t>working_time_rule_set</t>
        </is>
      </c>
      <c r="B95" s="15" t="inlineStr">
        <is>
          <t>CONTRACT_CLEANING</t>
        </is>
      </c>
      <c r="C95" s="15" t="inlineStr">
        <is>
          <t>overtime_multiplier</t>
        </is>
      </c>
      <c r="D95" s="15" t="inlineStr">
        <is>
          <t>1.500</t>
        </is>
      </c>
      <c r="E95" s="16" t="inlineStr">
        <is>
          <t>Sectoral Determination 1: Contract Cleaning Sector, current consolidated text (clauses 3, 8-24), clauses 3(2), 8 to 17</t>
        </is>
      </c>
      <c r="F95"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5" s="12" t="inlineStr"/>
      <c r="H95" s="12" t="inlineStr"/>
      <c r="I95" s="12" t="inlineStr"/>
    </row>
    <row r="96">
      <c r="A96" s="15" t="inlineStr">
        <is>
          <t>working_time_rule_set</t>
        </is>
      </c>
      <c r="B96" s="15" t="inlineStr">
        <is>
          <t>CONTRACT_CLEANING</t>
        </is>
      </c>
      <c r="C96" s="15" t="inlineStr">
        <is>
          <t>max_overtime_hours_per_day</t>
        </is>
      </c>
      <c r="D96" s="15" t="inlineStr">
        <is>
          <t>3.00</t>
        </is>
      </c>
      <c r="E96" s="16" t="inlineStr">
        <is>
          <t>Sectoral Determination 1: Contract Cleaning Sector, current consolidated text (clauses 3, 8-24), clauses 3(2), 8 to 17</t>
        </is>
      </c>
      <c r="F96"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6" s="12" t="inlineStr"/>
      <c r="H96" s="12" t="inlineStr"/>
      <c r="I96" s="12" t="inlineStr"/>
    </row>
    <row r="97">
      <c r="A97" s="15" t="inlineStr">
        <is>
          <t>working_time_rule_set</t>
        </is>
      </c>
      <c r="B97" s="15" t="inlineStr">
        <is>
          <t>CONTRACT_CLEANING</t>
        </is>
      </c>
      <c r="C97" s="15" t="inlineStr">
        <is>
          <t>max_overtime_hours_per_week</t>
        </is>
      </c>
      <c r="D97" s="15" t="inlineStr">
        <is>
          <t>10.00</t>
        </is>
      </c>
      <c r="E97" s="16" t="inlineStr">
        <is>
          <t>Sectoral Determination 1: Contract Cleaning Sector, current consolidated text (clauses 3, 8-24), clauses 3(2), 8 to 17</t>
        </is>
      </c>
      <c r="F97"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7" s="12" t="inlineStr"/>
      <c r="H97" s="12" t="inlineStr"/>
      <c r="I97" s="12" t="inlineStr"/>
    </row>
    <row r="98">
      <c r="A98" s="15" t="inlineStr">
        <is>
          <t>working_time_rule_set</t>
        </is>
      </c>
      <c r="B98" s="15" t="inlineStr">
        <is>
          <t>CONTRACT_CLEANING</t>
        </is>
      </c>
      <c r="C98" s="15" t="inlineStr">
        <is>
          <t>sunday_multiplier_non_ordinary</t>
        </is>
      </c>
      <c r="D98" s="15" t="inlineStr">
        <is>
          <t>2.000</t>
        </is>
      </c>
      <c r="E98" s="16" t="inlineStr">
        <is>
          <t>Sectoral Determination 1: Contract Cleaning Sector, current consolidated text (clauses 3, 8-24), clauses 3(2), 8 to 17</t>
        </is>
      </c>
      <c r="F98"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8" s="12" t="inlineStr"/>
      <c r="H98" s="12" t="inlineStr"/>
      <c r="I98" s="12" t="inlineStr"/>
    </row>
    <row r="99">
      <c r="A99" s="15" t="inlineStr">
        <is>
          <t>working_time_rule_set</t>
        </is>
      </c>
      <c r="B99" s="15" t="inlineStr">
        <is>
          <t>CONTRACT_CLEANING</t>
        </is>
      </c>
      <c r="C99" s="15" t="inlineStr">
        <is>
          <t>sunday_multiplier_ordinary</t>
        </is>
      </c>
      <c r="D99" s="15" t="inlineStr">
        <is>
          <t>1.500</t>
        </is>
      </c>
      <c r="E99" s="16" t="inlineStr">
        <is>
          <t>Sectoral Determination 1: Contract Cleaning Sector, current consolidated text (clauses 3, 8-24), clauses 3(2), 8 to 17</t>
        </is>
      </c>
      <c r="F99"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99" s="12" t="inlineStr"/>
      <c r="H99" s="12" t="inlineStr"/>
      <c r="I99" s="12" t="inlineStr"/>
    </row>
    <row r="100">
      <c r="A100" s="15" t="inlineStr">
        <is>
          <t>working_time_rule_set</t>
        </is>
      </c>
      <c r="B100" s="15" t="inlineStr">
        <is>
          <t>CONTRACT_CLEANING</t>
        </is>
      </c>
      <c r="C100" s="15" t="inlineStr">
        <is>
          <t>public_holiday_worked_multiplier</t>
        </is>
      </c>
      <c r="D100" s="15" t="inlineStr">
        <is>
          <t>2.000</t>
        </is>
      </c>
      <c r="E100" s="16" t="inlineStr">
        <is>
          <t>Sectoral Determination 1: Contract Cleaning Sector, current consolidated text (clauses 3, 8-24), clauses 3(2), 8 to 17</t>
        </is>
      </c>
      <c r="F100"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0" s="12" t="inlineStr"/>
      <c r="H100" s="12" t="inlineStr"/>
      <c r="I100" s="12" t="inlineStr"/>
    </row>
    <row r="101">
      <c r="A101" s="15" t="inlineStr">
        <is>
          <t>working_time_rule_set</t>
        </is>
      </c>
      <c r="B101" s="15" t="inlineStr">
        <is>
          <t>CONTRACT_CLEANING</t>
        </is>
      </c>
      <c r="C101" s="15" t="inlineStr">
        <is>
          <t>public_holiday_not_worked_paid</t>
        </is>
      </c>
      <c r="D101" s="15" t="inlineStr">
        <is>
          <t>True</t>
        </is>
      </c>
      <c r="E101" s="16" t="inlineStr">
        <is>
          <t>Sectoral Determination 1: Contract Cleaning Sector, current consolidated text (clauses 3, 8-24), clauses 3(2), 8 to 17</t>
        </is>
      </c>
      <c r="F101"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1" s="12" t="inlineStr"/>
      <c r="H101" s="12" t="inlineStr"/>
      <c r="I101" s="12" t="inlineStr"/>
    </row>
    <row r="102">
      <c r="A102" s="15" t="inlineStr">
        <is>
          <t>working_time_rule_set</t>
        </is>
      </c>
      <c r="B102" s="15" t="inlineStr">
        <is>
          <t>CONTRACT_CLEANING</t>
        </is>
      </c>
      <c r="C102" s="15" t="inlineStr">
        <is>
          <t>night_work_start_time</t>
        </is>
      </c>
      <c r="D102" s="15" t="inlineStr">
        <is>
          <t>18:00:00</t>
        </is>
      </c>
      <c r="E102" s="16" t="inlineStr">
        <is>
          <t>Sectoral Determination 1: Contract Cleaning Sector, current consolidated text (clauses 3, 8-24), clauses 3(2), 8 to 17</t>
        </is>
      </c>
      <c r="F102"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2" s="12" t="inlineStr"/>
      <c r="H102" s="12" t="inlineStr"/>
      <c r="I102" s="12" t="inlineStr"/>
    </row>
    <row r="103">
      <c r="A103" s="15" t="inlineStr">
        <is>
          <t>working_time_rule_set</t>
        </is>
      </c>
      <c r="B103" s="15" t="inlineStr">
        <is>
          <t>CONTRACT_CLEANING</t>
        </is>
      </c>
      <c r="C103" s="15" t="inlineStr">
        <is>
          <t>night_work_end_time</t>
        </is>
      </c>
      <c r="D103" s="15" t="inlineStr">
        <is>
          <t>06:00:00</t>
        </is>
      </c>
      <c r="E103" s="16" t="inlineStr">
        <is>
          <t>Sectoral Determination 1: Contract Cleaning Sector, current consolidated text (clauses 3, 8-24), clauses 3(2), 8 to 17</t>
        </is>
      </c>
      <c r="F103"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3" s="12" t="inlineStr"/>
      <c r="H103" s="12" t="inlineStr"/>
      <c r="I103" s="12" t="inlineStr"/>
    </row>
    <row r="104">
      <c r="A104" s="15" t="inlineStr">
        <is>
          <t>working_time_rule_set</t>
        </is>
      </c>
      <c r="B104" s="15" t="inlineStr">
        <is>
          <t>CONTRACT_CLEANING</t>
        </is>
      </c>
      <c r="C104" s="15" t="inlineStr">
        <is>
          <t>night_allowance_type</t>
        </is>
      </c>
      <c r="D104" s="15" t="inlineStr">
        <is>
          <t>percentage</t>
        </is>
      </c>
      <c r="E104" s="16" t="inlineStr">
        <is>
          <t>Sectoral Determination 1: Contract Cleaning Sector, current consolidated text (clauses 3, 8-24), clauses 3(2), 8 to 17</t>
        </is>
      </c>
      <c r="F104"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4" s="12" t="inlineStr"/>
      <c r="H104" s="12" t="inlineStr"/>
      <c r="I104" s="12" t="inlineStr"/>
    </row>
    <row r="105">
      <c r="A105" s="15" t="inlineStr">
        <is>
          <t>working_time_rule_set</t>
        </is>
      </c>
      <c r="B105" s="15" t="inlineStr">
        <is>
          <t>CONTRACT_CLEANING</t>
        </is>
      </c>
      <c r="C105" s="15" t="inlineStr">
        <is>
          <t>night_allowance_value</t>
        </is>
      </c>
      <c r="D105" s="15" t="inlineStr">
        <is>
          <t>10.0000</t>
        </is>
      </c>
      <c r="E105" s="16" t="inlineStr">
        <is>
          <t>Sectoral Determination 1: Contract Cleaning Sector, current consolidated text (clauses 3, 8-24), clauses 3(2), 8 to 17</t>
        </is>
      </c>
      <c r="F105"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5" s="12" t="inlineStr"/>
      <c r="H105" s="12" t="inlineStr"/>
      <c r="I105" s="12" t="inlineStr"/>
    </row>
    <row r="106">
      <c r="A106" s="15" t="inlineStr">
        <is>
          <t>working_time_rule_set</t>
        </is>
      </c>
      <c r="B106" s="15" t="inlineStr">
        <is>
          <t>CONTRACT_CLEANING</t>
        </is>
      </c>
      <c r="C106" s="15" t="inlineStr">
        <is>
          <t>standby_allowance_per_shift</t>
        </is>
      </c>
      <c r="D106" s="15" t="inlineStr">
        <is>
          <t>0.00</t>
        </is>
      </c>
      <c r="E106" s="16" t="inlineStr">
        <is>
          <t>Sectoral Determination 1: Contract Cleaning Sector, current consolidated text (clauses 3, 8-24), clauses 3(2), 8 to 17</t>
        </is>
      </c>
      <c r="F106"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6" s="12" t="inlineStr"/>
      <c r="H106" s="12" t="inlineStr"/>
      <c r="I106" s="12" t="inlineStr"/>
    </row>
    <row r="107">
      <c r="A107" s="15" t="inlineStr">
        <is>
          <t>working_time_rule_set</t>
        </is>
      </c>
      <c r="B107" s="15" t="inlineStr">
        <is>
          <t>CONTRACT_CLEANING</t>
        </is>
      </c>
      <c r="C107" s="15" t="inlineStr">
        <is>
          <t>standby_window_start</t>
        </is>
      </c>
      <c r="D107" s="15" t="inlineStr">
        <is>
          <t>00:00:00</t>
        </is>
      </c>
      <c r="E107" s="16" t="inlineStr">
        <is>
          <t>Sectoral Determination 1: Contract Cleaning Sector, current consolidated text (clauses 3, 8-24), clauses 3(2), 8 to 17</t>
        </is>
      </c>
      <c r="F107"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7" s="12" t="inlineStr"/>
      <c r="H107" s="12" t="inlineStr"/>
      <c r="I107" s="12" t="inlineStr"/>
    </row>
    <row r="108">
      <c r="A108" s="15" t="inlineStr">
        <is>
          <t>working_time_rule_set</t>
        </is>
      </c>
      <c r="B108" s="15" t="inlineStr">
        <is>
          <t>CONTRACT_CLEANING</t>
        </is>
      </c>
      <c r="C108" s="15" t="inlineStr">
        <is>
          <t>standby_window_end</t>
        </is>
      </c>
      <c r="D108" s="15" t="inlineStr">
        <is>
          <t>00:00:00</t>
        </is>
      </c>
      <c r="E108" s="16" t="inlineStr">
        <is>
          <t>Sectoral Determination 1: Contract Cleaning Sector, current consolidated text (clauses 3, 8-24), clauses 3(2), 8 to 17</t>
        </is>
      </c>
      <c r="F108"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8" s="12" t="inlineStr"/>
      <c r="H108" s="12" t="inlineStr"/>
      <c r="I108" s="12" t="inlineStr"/>
    </row>
    <row r="109">
      <c r="A109" s="15" t="inlineStr">
        <is>
          <t>working_time_rule_set</t>
        </is>
      </c>
      <c r="B109" s="15" t="inlineStr">
        <is>
          <t>CONTRACT_CLEANING</t>
        </is>
      </c>
      <c r="C109" s="15" t="inlineStr">
        <is>
          <t>standby_hours_before_overtime</t>
        </is>
      </c>
      <c r="D109" s="15" t="inlineStr">
        <is>
          <t>0.00</t>
        </is>
      </c>
      <c r="E109" s="16" t="inlineStr">
        <is>
          <t>Sectoral Determination 1: Contract Cleaning Sector, current consolidated text (clauses 3, 8-24), clauses 3(2), 8 to 17</t>
        </is>
      </c>
      <c r="F109"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09" s="12" t="inlineStr"/>
      <c r="H109" s="12" t="inlineStr"/>
      <c r="I109" s="12" t="inlineStr"/>
    </row>
    <row r="110">
      <c r="A110" s="15" t="inlineStr">
        <is>
          <t>working_time_rule_set</t>
        </is>
      </c>
      <c r="B110" s="15" t="inlineStr">
        <is>
          <t>CONTRACT_CLEANING</t>
        </is>
      </c>
      <c r="C110" s="15" t="inlineStr">
        <is>
          <t>min_paid_hours_per_day</t>
        </is>
      </c>
      <c r="D110" s="15" t="inlineStr">
        <is>
          <t>6.00</t>
        </is>
      </c>
      <c r="E110" s="16" t="inlineStr">
        <is>
          <t>Sectoral Determination 1: Contract Cleaning Sector, current consolidated text (clauses 3, 8-24), clauses 3(2), 8 to 17</t>
        </is>
      </c>
      <c r="F110"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10" s="12" t="inlineStr"/>
      <c r="H110" s="12" t="inlineStr"/>
      <c r="I110" s="12" t="inlineStr"/>
    </row>
    <row r="111">
      <c r="A111" s="15" t="inlineStr">
        <is>
          <t>working_time_rule_set</t>
        </is>
      </c>
      <c r="B111" s="15" t="inlineStr">
        <is>
          <t>CONTRACT_CLEANING</t>
        </is>
      </c>
      <c r="C111" s="15" t="inlineStr">
        <is>
          <t>meal_interval_after_hours</t>
        </is>
      </c>
      <c r="D111" s="15" t="inlineStr">
        <is>
          <t>5.00</t>
        </is>
      </c>
      <c r="E111" s="16" t="inlineStr">
        <is>
          <t>Sectoral Determination 1: Contract Cleaning Sector, current consolidated text (clauses 3, 8-24), clauses 3(2), 8 to 17</t>
        </is>
      </c>
      <c r="F111"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11" s="12" t="inlineStr"/>
      <c r="H111" s="12" t="inlineStr"/>
      <c r="I111" s="12" t="inlineStr"/>
    </row>
    <row r="112">
      <c r="A112" s="15" t="inlineStr">
        <is>
          <t>working_time_rule_set</t>
        </is>
      </c>
      <c r="B112" s="15" t="inlineStr">
        <is>
          <t>CONTRACT_CLEANING</t>
        </is>
      </c>
      <c r="C112" s="15" t="inlineStr">
        <is>
          <t>meal_interval_minutes</t>
        </is>
      </c>
      <c r="D112" s="15" t="inlineStr">
        <is>
          <t>60</t>
        </is>
      </c>
      <c r="E112" s="16" t="inlineStr">
        <is>
          <t>Sectoral Determination 1: Contract Cleaning Sector, current consolidated text (clauses 3, 8-24), clauses 3(2), 8 to 17</t>
        </is>
      </c>
      <c r="F112"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12" s="12" t="inlineStr"/>
      <c r="H112" s="12" t="inlineStr"/>
      <c r="I112" s="12" t="inlineStr"/>
    </row>
    <row r="113">
      <c r="A113" s="15" t="inlineStr">
        <is>
          <t>working_time_rule_set</t>
        </is>
      </c>
      <c r="B113" s="15" t="inlineStr">
        <is>
          <t>CONTRACT_CLEANING</t>
        </is>
      </c>
      <c r="C113" s="15" t="inlineStr">
        <is>
          <t>daily_rest_hours</t>
        </is>
      </c>
      <c r="D113" s="15" t="inlineStr">
        <is>
          <t>12</t>
        </is>
      </c>
      <c r="E113" s="16" t="inlineStr">
        <is>
          <t>Sectoral Determination 1: Contract Cleaning Sector, current consolidated text (clauses 3, 8-24), clauses 3(2), 8 to 17</t>
        </is>
      </c>
      <c r="F113"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13" s="12" t="inlineStr"/>
      <c r="H113" s="12" t="inlineStr"/>
      <c r="I113" s="12" t="inlineStr"/>
    </row>
    <row r="114">
      <c r="A114" s="15" t="inlineStr">
        <is>
          <t>working_time_rule_set</t>
        </is>
      </c>
      <c r="B114" s="15" t="inlineStr">
        <is>
          <t>CONTRACT_CLEANING</t>
        </is>
      </c>
      <c r="C114" s="15" t="inlineStr">
        <is>
          <t>weekly_rest_hours</t>
        </is>
      </c>
      <c r="D114" s="15" t="inlineStr">
        <is>
          <t>36</t>
        </is>
      </c>
      <c r="E114" s="16" t="inlineStr">
        <is>
          <t>Sectoral Determination 1: Contract Cleaning Sector, current consolidated text (clauses 3, 8-24), clauses 3(2), 8 to 17</t>
        </is>
      </c>
      <c r="F114"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14" s="12" t="inlineStr"/>
      <c r="H114" s="12" t="inlineStr"/>
      <c r="I114" s="12" t="inlineStr"/>
    </row>
    <row r="115">
      <c r="A115" s="15" t="inlineStr">
        <is>
          <t>working_time_rule_set</t>
        </is>
      </c>
      <c r="B115" s="15" t="inlineStr">
        <is>
          <t>CONTRACT_CLEANING</t>
        </is>
      </c>
      <c r="C115" s="15" t="inlineStr">
        <is>
          <t>accommodation_deduction_max_pct</t>
        </is>
      </c>
      <c r="D115" s="15" t="inlineStr">
        <is>
          <t>0.00</t>
        </is>
      </c>
      <c r="E115" s="16" t="inlineStr">
        <is>
          <t>Sectoral Determination 1: Contract Cleaning Sector, current consolidated text (clauses 3, 8-24), clauses 3(2), 8 to 17</t>
        </is>
      </c>
      <c r="F115"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is>
      </c>
      <c r="G115" s="12" t="inlineStr"/>
      <c r="H115" s="12" t="inlineStr"/>
      <c r="I115" s="12" t="inlineStr"/>
    </row>
    <row r="116">
      <c r="A116" s="15" t="inlineStr">
        <is>
          <t>working_time_rule_set</t>
        </is>
      </c>
      <c r="B116" s="15" t="inlineStr">
        <is>
          <t>BCEA default</t>
        </is>
      </c>
      <c r="C116" s="15" t="inlineStr">
        <is>
          <t>ordinary_hours_per_week</t>
        </is>
      </c>
      <c r="D116" s="15" t="inlineStr">
        <is>
          <t>45.00</t>
        </is>
      </c>
      <c r="E116" s="16" t="inlineStr">
        <is>
          <t>Basic Conditions of Employment Act 75 of 1997, ss 9-18 and s9A</t>
        </is>
      </c>
      <c r="F116"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16" s="12" t="inlineStr"/>
      <c r="H116" s="12" t="inlineStr"/>
      <c r="I116" s="12" t="inlineStr"/>
    </row>
    <row r="117">
      <c r="A117" s="15" t="inlineStr">
        <is>
          <t>working_time_rule_set</t>
        </is>
      </c>
      <c r="B117" s="15" t="inlineStr">
        <is>
          <t>BCEA default</t>
        </is>
      </c>
      <c r="C117" s="15" t="inlineStr">
        <is>
          <t>ordinary_hours_per_day_5day</t>
        </is>
      </c>
      <c r="D117" s="15" t="inlineStr">
        <is>
          <t>9.00</t>
        </is>
      </c>
      <c r="E117" s="16" t="inlineStr">
        <is>
          <t>Basic Conditions of Employment Act 75 of 1997, ss 9-18 and s9A</t>
        </is>
      </c>
      <c r="F117"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17" s="12" t="inlineStr"/>
      <c r="H117" s="12" t="inlineStr"/>
      <c r="I117" s="12" t="inlineStr"/>
    </row>
    <row r="118">
      <c r="A118" s="15" t="inlineStr">
        <is>
          <t>working_time_rule_set</t>
        </is>
      </c>
      <c r="B118" s="15" t="inlineStr">
        <is>
          <t>BCEA default</t>
        </is>
      </c>
      <c r="C118" s="15" t="inlineStr">
        <is>
          <t>ordinary_hours_per_day_6day</t>
        </is>
      </c>
      <c r="D118" s="15" t="inlineStr">
        <is>
          <t>8.00</t>
        </is>
      </c>
      <c r="E118" s="16" t="inlineStr">
        <is>
          <t>Basic Conditions of Employment Act 75 of 1997, ss 9-18 and s9A</t>
        </is>
      </c>
      <c r="F118"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18" s="12" t="inlineStr"/>
      <c r="H118" s="12" t="inlineStr"/>
      <c r="I118" s="12" t="inlineStr"/>
    </row>
    <row r="119">
      <c r="A119" s="15" t="inlineStr">
        <is>
          <t>working_time_rule_set</t>
        </is>
      </c>
      <c r="B119" s="15" t="inlineStr">
        <is>
          <t>BCEA default</t>
        </is>
      </c>
      <c r="C119" s="15" t="inlineStr">
        <is>
          <t>overtime_multiplier</t>
        </is>
      </c>
      <c r="D119" s="15" t="inlineStr">
        <is>
          <t>1.500</t>
        </is>
      </c>
      <c r="E119" s="16" t="inlineStr">
        <is>
          <t>Basic Conditions of Employment Act 75 of 1997, ss 9-18 and s9A</t>
        </is>
      </c>
      <c r="F119"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19" s="12" t="inlineStr"/>
      <c r="H119" s="12" t="inlineStr"/>
      <c r="I119" s="12" t="inlineStr"/>
    </row>
    <row r="120">
      <c r="A120" s="15" t="inlineStr">
        <is>
          <t>working_time_rule_set</t>
        </is>
      </c>
      <c r="B120" s="15" t="inlineStr">
        <is>
          <t>BCEA default</t>
        </is>
      </c>
      <c r="C120" s="15" t="inlineStr">
        <is>
          <t>max_overtime_hours_per_day</t>
        </is>
      </c>
      <c r="D120" s="15" t="inlineStr">
        <is>
          <t>3.00</t>
        </is>
      </c>
      <c r="E120" s="16" t="inlineStr">
        <is>
          <t>Basic Conditions of Employment Act 75 of 1997, ss 9-18 and s9A</t>
        </is>
      </c>
      <c r="F120"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0" s="12" t="inlineStr"/>
      <c r="H120" s="12" t="inlineStr"/>
      <c r="I120" s="12" t="inlineStr"/>
    </row>
    <row r="121">
      <c r="A121" s="15" t="inlineStr">
        <is>
          <t>working_time_rule_set</t>
        </is>
      </c>
      <c r="B121" s="15" t="inlineStr">
        <is>
          <t>BCEA default</t>
        </is>
      </c>
      <c r="C121" s="15" t="inlineStr">
        <is>
          <t>max_overtime_hours_per_week</t>
        </is>
      </c>
      <c r="D121" s="15" t="inlineStr">
        <is>
          <t>10.00</t>
        </is>
      </c>
      <c r="E121" s="16" t="inlineStr">
        <is>
          <t>Basic Conditions of Employment Act 75 of 1997, ss 9-18 and s9A</t>
        </is>
      </c>
      <c r="F121"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1" s="12" t="inlineStr"/>
      <c r="H121" s="12" t="inlineStr"/>
      <c r="I121" s="12" t="inlineStr"/>
    </row>
    <row r="122">
      <c r="A122" s="15" t="inlineStr">
        <is>
          <t>working_time_rule_set</t>
        </is>
      </c>
      <c r="B122" s="15" t="inlineStr">
        <is>
          <t>BCEA default</t>
        </is>
      </c>
      <c r="C122" s="15" t="inlineStr">
        <is>
          <t>sunday_multiplier_non_ordinary</t>
        </is>
      </c>
      <c r="D122" s="15" t="inlineStr">
        <is>
          <t>2.000</t>
        </is>
      </c>
      <c r="E122" s="16" t="inlineStr">
        <is>
          <t>Basic Conditions of Employment Act 75 of 1997, ss 9-18 and s9A</t>
        </is>
      </c>
      <c r="F122"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2" s="12" t="inlineStr"/>
      <c r="H122" s="12" t="inlineStr"/>
      <c r="I122" s="12" t="inlineStr"/>
    </row>
    <row r="123">
      <c r="A123" s="15" t="inlineStr">
        <is>
          <t>working_time_rule_set</t>
        </is>
      </c>
      <c r="B123" s="15" t="inlineStr">
        <is>
          <t>BCEA default</t>
        </is>
      </c>
      <c r="C123" s="15" t="inlineStr">
        <is>
          <t>sunday_multiplier_ordinary</t>
        </is>
      </c>
      <c r="D123" s="15" t="inlineStr">
        <is>
          <t>1.500</t>
        </is>
      </c>
      <c r="E123" s="16" t="inlineStr">
        <is>
          <t>Basic Conditions of Employment Act 75 of 1997, ss 9-18 and s9A</t>
        </is>
      </c>
      <c r="F123"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3" s="12" t="inlineStr"/>
      <c r="H123" s="12" t="inlineStr"/>
      <c r="I123" s="12" t="inlineStr"/>
    </row>
    <row r="124">
      <c r="A124" s="15" t="inlineStr">
        <is>
          <t>working_time_rule_set</t>
        </is>
      </c>
      <c r="B124" s="15" t="inlineStr">
        <is>
          <t>BCEA default</t>
        </is>
      </c>
      <c r="C124" s="15" t="inlineStr">
        <is>
          <t>public_holiday_worked_multiplier</t>
        </is>
      </c>
      <c r="D124" s="15" t="inlineStr">
        <is>
          <t>2.000</t>
        </is>
      </c>
      <c r="E124" s="16" t="inlineStr">
        <is>
          <t>Basic Conditions of Employment Act 75 of 1997, ss 9-18 and s9A</t>
        </is>
      </c>
      <c r="F124"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4" s="12" t="inlineStr"/>
      <c r="H124" s="12" t="inlineStr"/>
      <c r="I124" s="12" t="inlineStr"/>
    </row>
    <row r="125">
      <c r="A125" s="15" t="inlineStr">
        <is>
          <t>working_time_rule_set</t>
        </is>
      </c>
      <c r="B125" s="15" t="inlineStr">
        <is>
          <t>BCEA default</t>
        </is>
      </c>
      <c r="C125" s="15" t="inlineStr">
        <is>
          <t>public_holiday_not_worked_paid</t>
        </is>
      </c>
      <c r="D125" s="15" t="inlineStr">
        <is>
          <t>True</t>
        </is>
      </c>
      <c r="E125" s="16" t="inlineStr">
        <is>
          <t>Basic Conditions of Employment Act 75 of 1997, ss 9-18 and s9A</t>
        </is>
      </c>
      <c r="F125"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5" s="12" t="inlineStr"/>
      <c r="H125" s="12" t="inlineStr"/>
      <c r="I125" s="12" t="inlineStr"/>
    </row>
    <row r="126">
      <c r="A126" s="15" t="inlineStr">
        <is>
          <t>working_time_rule_set</t>
        </is>
      </c>
      <c r="B126" s="15" t="inlineStr">
        <is>
          <t>BCEA default</t>
        </is>
      </c>
      <c r="C126" s="15" t="inlineStr">
        <is>
          <t>night_work_start_time</t>
        </is>
      </c>
      <c r="D126" s="15" t="inlineStr">
        <is>
          <t>18:00:00</t>
        </is>
      </c>
      <c r="E126" s="16" t="inlineStr">
        <is>
          <t>Basic Conditions of Employment Act 75 of 1997, ss 9-18 and s9A</t>
        </is>
      </c>
      <c r="F126"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6" s="12" t="inlineStr"/>
      <c r="H126" s="12" t="inlineStr"/>
      <c r="I126" s="12" t="inlineStr"/>
    </row>
    <row r="127">
      <c r="A127" s="15" t="inlineStr">
        <is>
          <t>working_time_rule_set</t>
        </is>
      </c>
      <c r="B127" s="15" t="inlineStr">
        <is>
          <t>BCEA default</t>
        </is>
      </c>
      <c r="C127" s="15" t="inlineStr">
        <is>
          <t>night_work_end_time</t>
        </is>
      </c>
      <c r="D127" s="15" t="inlineStr">
        <is>
          <t>06:00:00</t>
        </is>
      </c>
      <c r="E127" s="16" t="inlineStr">
        <is>
          <t>Basic Conditions of Employment Act 75 of 1997, ss 9-18 and s9A</t>
        </is>
      </c>
      <c r="F127"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7" s="12" t="inlineStr"/>
      <c r="H127" s="12" t="inlineStr"/>
      <c r="I127" s="12" t="inlineStr"/>
    </row>
    <row r="128">
      <c r="A128" s="15" t="inlineStr">
        <is>
          <t>working_time_rule_set</t>
        </is>
      </c>
      <c r="B128" s="15" t="inlineStr">
        <is>
          <t>BCEA default</t>
        </is>
      </c>
      <c r="C128" s="15" t="inlineStr">
        <is>
          <t>night_allowance_type</t>
        </is>
      </c>
      <c r="D128" s="15" t="inlineStr">
        <is>
          <t>by_agreement</t>
        </is>
      </c>
      <c r="E128" s="16" t="inlineStr">
        <is>
          <t>Basic Conditions of Employment Act 75 of 1997, ss 9-18 and s9A</t>
        </is>
      </c>
      <c r="F128"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8" s="12" t="inlineStr"/>
      <c r="H128" s="12" t="inlineStr"/>
      <c r="I128" s="12" t="inlineStr"/>
    </row>
    <row r="129">
      <c r="A129" s="15" t="inlineStr">
        <is>
          <t>working_time_rule_set</t>
        </is>
      </c>
      <c r="B129" s="15" t="inlineStr">
        <is>
          <t>BCEA default</t>
        </is>
      </c>
      <c r="C129" s="15" t="inlineStr">
        <is>
          <t>night_allowance_value</t>
        </is>
      </c>
      <c r="D129" s="15" t="inlineStr">
        <is>
          <t>0.0000</t>
        </is>
      </c>
      <c r="E129" s="16" t="inlineStr">
        <is>
          <t>Basic Conditions of Employment Act 75 of 1997, ss 9-18 and s9A</t>
        </is>
      </c>
      <c r="F129"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29" s="12" t="inlineStr"/>
      <c r="H129" s="12" t="inlineStr"/>
      <c r="I129" s="12" t="inlineStr"/>
    </row>
    <row r="130">
      <c r="A130" s="15" t="inlineStr">
        <is>
          <t>working_time_rule_set</t>
        </is>
      </c>
      <c r="B130" s="15" t="inlineStr">
        <is>
          <t>BCEA default</t>
        </is>
      </c>
      <c r="C130" s="15" t="inlineStr">
        <is>
          <t>standby_allowance_per_shift</t>
        </is>
      </c>
      <c r="D130" s="15" t="inlineStr">
        <is>
          <t>0.00</t>
        </is>
      </c>
      <c r="E130" s="16" t="inlineStr">
        <is>
          <t>Basic Conditions of Employment Act 75 of 1997, ss 9-18 and s9A</t>
        </is>
      </c>
      <c r="F130"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0" s="12" t="inlineStr"/>
      <c r="H130" s="12" t="inlineStr"/>
      <c r="I130" s="12" t="inlineStr"/>
    </row>
    <row r="131">
      <c r="A131" s="15" t="inlineStr">
        <is>
          <t>working_time_rule_set</t>
        </is>
      </c>
      <c r="B131" s="15" t="inlineStr">
        <is>
          <t>BCEA default</t>
        </is>
      </c>
      <c r="C131" s="15" t="inlineStr">
        <is>
          <t>standby_window_start</t>
        </is>
      </c>
      <c r="D131" s="15" t="inlineStr">
        <is>
          <t>00:00:00</t>
        </is>
      </c>
      <c r="E131" s="16" t="inlineStr">
        <is>
          <t>Basic Conditions of Employment Act 75 of 1997, ss 9-18 and s9A</t>
        </is>
      </c>
      <c r="F131"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1" s="12" t="inlineStr"/>
      <c r="H131" s="12" t="inlineStr"/>
      <c r="I131" s="12" t="inlineStr"/>
    </row>
    <row r="132">
      <c r="A132" s="15" t="inlineStr">
        <is>
          <t>working_time_rule_set</t>
        </is>
      </c>
      <c r="B132" s="15" t="inlineStr">
        <is>
          <t>BCEA default</t>
        </is>
      </c>
      <c r="C132" s="15" t="inlineStr">
        <is>
          <t>standby_window_end</t>
        </is>
      </c>
      <c r="D132" s="15" t="inlineStr">
        <is>
          <t>00:00:00</t>
        </is>
      </c>
      <c r="E132" s="16" t="inlineStr">
        <is>
          <t>Basic Conditions of Employment Act 75 of 1997, ss 9-18 and s9A</t>
        </is>
      </c>
      <c r="F132"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2" s="12" t="inlineStr"/>
      <c r="H132" s="12" t="inlineStr"/>
      <c r="I132" s="12" t="inlineStr"/>
    </row>
    <row r="133">
      <c r="A133" s="15" t="inlineStr">
        <is>
          <t>working_time_rule_set</t>
        </is>
      </c>
      <c r="B133" s="15" t="inlineStr">
        <is>
          <t>BCEA default</t>
        </is>
      </c>
      <c r="C133" s="15" t="inlineStr">
        <is>
          <t>standby_hours_before_overtime</t>
        </is>
      </c>
      <c r="D133" s="15" t="inlineStr">
        <is>
          <t>0.00</t>
        </is>
      </c>
      <c r="E133" s="16" t="inlineStr">
        <is>
          <t>Basic Conditions of Employment Act 75 of 1997, ss 9-18 and s9A</t>
        </is>
      </c>
      <c r="F133"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3" s="12" t="inlineStr"/>
      <c r="H133" s="12" t="inlineStr"/>
      <c r="I133" s="12" t="inlineStr"/>
    </row>
    <row r="134">
      <c r="A134" s="15" t="inlineStr">
        <is>
          <t>working_time_rule_set</t>
        </is>
      </c>
      <c r="B134" s="15" t="inlineStr">
        <is>
          <t>BCEA default</t>
        </is>
      </c>
      <c r="C134" s="15" t="inlineStr">
        <is>
          <t>min_paid_hours_per_day</t>
        </is>
      </c>
      <c r="D134" s="15" t="inlineStr">
        <is>
          <t>4.00</t>
        </is>
      </c>
      <c r="E134" s="16" t="inlineStr">
        <is>
          <t>Basic Conditions of Employment Act 75 of 1997, ss 9-18 and s9A</t>
        </is>
      </c>
      <c r="F134"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4" s="12" t="inlineStr"/>
      <c r="H134" s="12" t="inlineStr"/>
      <c r="I134" s="12" t="inlineStr"/>
    </row>
    <row r="135">
      <c r="A135" s="15" t="inlineStr">
        <is>
          <t>working_time_rule_set</t>
        </is>
      </c>
      <c r="B135" s="15" t="inlineStr">
        <is>
          <t>BCEA default</t>
        </is>
      </c>
      <c r="C135" s="15" t="inlineStr">
        <is>
          <t>meal_interval_after_hours</t>
        </is>
      </c>
      <c r="D135" s="15" t="inlineStr">
        <is>
          <t>5.00</t>
        </is>
      </c>
      <c r="E135" s="16" t="inlineStr">
        <is>
          <t>Basic Conditions of Employment Act 75 of 1997, ss 9-18 and s9A</t>
        </is>
      </c>
      <c r="F135"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5" s="12" t="inlineStr"/>
      <c r="H135" s="12" t="inlineStr"/>
      <c r="I135" s="12" t="inlineStr"/>
    </row>
    <row r="136">
      <c r="A136" s="15" t="inlineStr">
        <is>
          <t>working_time_rule_set</t>
        </is>
      </c>
      <c r="B136" s="15" t="inlineStr">
        <is>
          <t>BCEA default</t>
        </is>
      </c>
      <c r="C136" s="15" t="inlineStr">
        <is>
          <t>meal_interval_minutes</t>
        </is>
      </c>
      <c r="D136" s="15" t="inlineStr">
        <is>
          <t>60</t>
        </is>
      </c>
      <c r="E136" s="16" t="inlineStr">
        <is>
          <t>Basic Conditions of Employment Act 75 of 1997, ss 9-18 and s9A</t>
        </is>
      </c>
      <c r="F136"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6" s="12" t="inlineStr"/>
      <c r="H136" s="12" t="inlineStr"/>
      <c r="I136" s="12" t="inlineStr"/>
    </row>
    <row r="137">
      <c r="A137" s="15" t="inlineStr">
        <is>
          <t>working_time_rule_set</t>
        </is>
      </c>
      <c r="B137" s="15" t="inlineStr">
        <is>
          <t>BCEA default</t>
        </is>
      </c>
      <c r="C137" s="15" t="inlineStr">
        <is>
          <t>daily_rest_hours</t>
        </is>
      </c>
      <c r="D137" s="15" t="inlineStr">
        <is>
          <t>12</t>
        </is>
      </c>
      <c r="E137" s="16" t="inlineStr">
        <is>
          <t>Basic Conditions of Employment Act 75 of 1997, ss 9-18 and s9A</t>
        </is>
      </c>
      <c r="F137"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7" s="12" t="inlineStr"/>
      <c r="H137" s="12" t="inlineStr"/>
      <c r="I137" s="12" t="inlineStr"/>
    </row>
    <row r="138">
      <c r="A138" s="15" t="inlineStr">
        <is>
          <t>working_time_rule_set</t>
        </is>
      </c>
      <c r="B138" s="15" t="inlineStr">
        <is>
          <t>BCEA default</t>
        </is>
      </c>
      <c r="C138" s="15" t="inlineStr">
        <is>
          <t>weekly_rest_hours</t>
        </is>
      </c>
      <c r="D138" s="15" t="inlineStr">
        <is>
          <t>36</t>
        </is>
      </c>
      <c r="E138" s="16" t="inlineStr">
        <is>
          <t>Basic Conditions of Employment Act 75 of 1997, ss 9-18 and s9A</t>
        </is>
      </c>
      <c r="F138"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8" s="12" t="inlineStr"/>
      <c r="H138" s="12" t="inlineStr"/>
      <c r="I138" s="12" t="inlineStr"/>
    </row>
    <row r="139">
      <c r="A139" s="15" t="inlineStr">
        <is>
          <t>working_time_rule_set</t>
        </is>
      </c>
      <c r="B139" s="15" t="inlineStr">
        <is>
          <t>BCEA default</t>
        </is>
      </c>
      <c r="C139" s="15" t="inlineStr">
        <is>
          <t>accommodation_deduction_max_pct</t>
        </is>
      </c>
      <c r="D139" s="15" t="inlineStr">
        <is>
          <t>0.00</t>
        </is>
      </c>
      <c r="E139" s="16" t="inlineStr">
        <is>
          <t>Basic Conditions of Employment Act 75 of 1997, ss 9-18 and s9A</t>
        </is>
      </c>
      <c r="F139" s="16" t="inlineStr">
        <is>
          <t>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is>
      </c>
      <c r="G139" s="12" t="inlineStr"/>
      <c r="H139" s="12" t="inlineStr"/>
      <c r="I139" s="12" t="inlineStr"/>
    </row>
    <row r="140">
      <c r="A140" s="15" t="inlineStr">
        <is>
          <t>termination_rule_set</t>
        </is>
      </c>
      <c r="B140" s="15" t="inlineStr">
        <is>
          <t>BCEA default</t>
        </is>
      </c>
      <c r="C140" s="15" t="inlineStr">
        <is>
          <t>notice_weeks_under_6_months</t>
        </is>
      </c>
      <c r="D140" s="15" t="inlineStr">
        <is>
          <t>1.00</t>
        </is>
      </c>
      <c r="E140" s="16" t="inlineStr">
        <is>
          <t>Basic Conditions of Employment Act 75 of 1997, ss 37 and 41</t>
        </is>
      </c>
      <c r="F140" s="16" t="inlineStr">
        <is>
          <t>effective_from is the start of this reference data, not the provision's commencement. The rule itself is older. There is no statutory annual bonus in this sector, so the weeks are zero and the month is NULL. Contract cleaning is the sector that has one.</t>
        </is>
      </c>
      <c r="G140" s="12" t="inlineStr"/>
      <c r="H140" s="12" t="inlineStr"/>
      <c r="I140" s="12" t="inlineStr"/>
    </row>
    <row r="141">
      <c r="A141" s="15" t="inlineStr">
        <is>
          <t>termination_rule_set</t>
        </is>
      </c>
      <c r="B141" s="15" t="inlineStr">
        <is>
          <t>BCEA default</t>
        </is>
      </c>
      <c r="C141" s="15" t="inlineStr">
        <is>
          <t>notice_weeks_6_months_and_over</t>
        </is>
      </c>
      <c r="D141" s="15" t="inlineStr">
        <is>
          <t>2.00</t>
        </is>
      </c>
      <c r="E141" s="16" t="inlineStr">
        <is>
          <t>Basic Conditions of Employment Act 75 of 1997, ss 37 and 41</t>
        </is>
      </c>
      <c r="F141" s="16" t="inlineStr">
        <is>
          <t>effective_from is the start of this reference data, not the provision's commencement. The rule itself is older. There is no statutory annual bonus in this sector, so the weeks are zero and the month is NULL. Contract cleaning is the sector that has one.</t>
        </is>
      </c>
      <c r="G141" s="12" t="inlineStr"/>
      <c r="H141" s="12" t="inlineStr"/>
      <c r="I141" s="12" t="inlineStr"/>
    </row>
    <row r="142">
      <c r="A142" s="15" t="inlineStr">
        <is>
          <t>termination_rule_set</t>
        </is>
      </c>
      <c r="B142" s="15" t="inlineStr">
        <is>
          <t>BCEA default</t>
        </is>
      </c>
      <c r="C142" s="15" t="inlineStr">
        <is>
          <t>notice_weeks_over_1_year</t>
        </is>
      </c>
      <c r="D142" s="15" t="inlineStr">
        <is>
          <t>4.00</t>
        </is>
      </c>
      <c r="E142" s="16" t="inlineStr">
        <is>
          <t>Basic Conditions of Employment Act 75 of 1997, ss 37 and 41</t>
        </is>
      </c>
      <c r="F142" s="16" t="inlineStr">
        <is>
          <t>effective_from is the start of this reference data, not the provision's commencement. The rule itself is older. There is no statutory annual bonus in this sector, so the weeks are zero and the month is NULL. Contract cleaning is the sector that has one.</t>
        </is>
      </c>
      <c r="G142" s="12" t="inlineStr"/>
      <c r="H142" s="12" t="inlineStr"/>
      <c r="I142" s="12" t="inlineStr"/>
    </row>
    <row r="143">
      <c r="A143" s="15" t="inlineStr">
        <is>
          <t>termination_rule_set</t>
        </is>
      </c>
      <c r="B143" s="15" t="inlineStr">
        <is>
          <t>BCEA default</t>
        </is>
      </c>
      <c r="C143" s="15" t="inlineStr">
        <is>
          <t>severance_weeks_per_completed_year</t>
        </is>
      </c>
      <c r="D143" s="15" t="inlineStr">
        <is>
          <t>1.00</t>
        </is>
      </c>
      <c r="E143" s="16" t="inlineStr">
        <is>
          <t>Basic Conditions of Employment Act 75 of 1997, ss 37 and 41</t>
        </is>
      </c>
      <c r="F143" s="16" t="inlineStr">
        <is>
          <t>effective_from is the start of this reference data, not the provision's commencement. The rule itself is older. There is no statutory annual bonus in this sector, so the weeks are zero and the month is NULL. Contract cleaning is the sector that has one.</t>
        </is>
      </c>
      <c r="G143" s="12" t="inlineStr"/>
      <c r="H143" s="12" t="inlineStr"/>
      <c r="I143" s="12" t="inlineStr"/>
    </row>
    <row r="144">
      <c r="A144" s="15" t="inlineStr">
        <is>
          <t>termination_rule_set</t>
        </is>
      </c>
      <c r="B144" s="15" t="inlineStr">
        <is>
          <t>BCEA default</t>
        </is>
      </c>
      <c r="C144" s="15" t="inlineStr">
        <is>
          <t>severance_requires_operational_reason</t>
        </is>
      </c>
      <c r="D144" s="15" t="inlineStr">
        <is>
          <t>True</t>
        </is>
      </c>
      <c r="E144" s="16" t="inlineStr">
        <is>
          <t>Basic Conditions of Employment Act 75 of 1997, ss 37 and 41</t>
        </is>
      </c>
      <c r="F144" s="16" t="inlineStr">
        <is>
          <t>effective_from is the start of this reference data, not the provision's commencement. The rule itself is older. There is no statutory annual bonus in this sector, so the weeks are zero and the month is NULL. Contract cleaning is the sector that has one.</t>
        </is>
      </c>
      <c r="G144" s="12" t="inlineStr"/>
      <c r="H144" s="12" t="inlineStr"/>
      <c r="I144" s="12" t="inlineStr"/>
    </row>
    <row r="145">
      <c r="A145" s="15" t="inlineStr">
        <is>
          <t>termination_rule_set</t>
        </is>
      </c>
      <c r="B145" s="15" t="inlineStr">
        <is>
          <t>BCEA default</t>
        </is>
      </c>
      <c r="C145" s="15" t="inlineStr">
        <is>
          <t>annual_bonus_weeks</t>
        </is>
      </c>
      <c r="D145" s="15" t="inlineStr">
        <is>
          <t>0.000</t>
        </is>
      </c>
      <c r="E145" s="16" t="inlineStr">
        <is>
          <t>Basic Conditions of Employment Act 75 of 1997, ss 37 and 41</t>
        </is>
      </c>
      <c r="F145" s="16" t="inlineStr">
        <is>
          <t>effective_from is the start of this reference data, not the provision's commencement. The rule itself is older. There is no statutory annual bonus in this sector, so the weeks are zero and the month is NULL. Contract cleaning is the sector that has one.</t>
        </is>
      </c>
      <c r="G145" s="12" t="inlineStr"/>
      <c r="H145" s="12" t="inlineStr"/>
      <c r="I145" s="12" t="inlineStr"/>
    </row>
    <row r="146">
      <c r="A146" s="15" t="inlineStr">
        <is>
          <t>termination_rule_set</t>
        </is>
      </c>
      <c r="B146" s="15" t="inlineStr">
        <is>
          <t>BCEA default</t>
        </is>
      </c>
      <c r="C146" s="15" t="inlineStr">
        <is>
          <t>annual_bonus_month</t>
        </is>
      </c>
      <c r="D146" s="15" t="inlineStr"/>
      <c r="E146" s="16" t="inlineStr">
        <is>
          <t>Basic Conditions of Employment Act 75 of 1997, ss 37 and 41</t>
        </is>
      </c>
      <c r="F146" s="16" t="inlineStr">
        <is>
          <t>effective_from is the start of this reference data, not the provision's commencement. The rule itself is older. There is no statutory annual bonus in this sector, so the weeks are zero and the month is NULL. Contract cleaning is the sector that has one.</t>
        </is>
      </c>
      <c r="G146" s="12" t="inlineStr"/>
      <c r="H146" s="12" t="inlineStr"/>
      <c r="I146" s="12" t="inlineStr"/>
    </row>
    <row r="147">
      <c r="A147" s="15" t="inlineStr">
        <is>
          <t>termination_rule_set</t>
        </is>
      </c>
      <c r="B147" s="15" t="inlineStr">
        <is>
          <t>BCEA default</t>
        </is>
      </c>
      <c r="C147" s="15" t="inlineStr">
        <is>
          <t>annual_bonus_pro_rata_on_termination</t>
        </is>
      </c>
      <c r="D147" s="15" t="inlineStr">
        <is>
          <t>False</t>
        </is>
      </c>
      <c r="E147" s="16" t="inlineStr">
        <is>
          <t>Basic Conditions of Employment Act 75 of 1997, ss 37 and 41</t>
        </is>
      </c>
      <c r="F147" s="16" t="inlineStr">
        <is>
          <t>effective_from is the start of this reference data, not the provision's commencement. The rule itself is older. There is no statutory annual bonus in this sector, so the weeks are zero and the month is NULL. Contract cleaning is the sector that has one.</t>
        </is>
      </c>
      <c r="G147" s="12" t="inlineStr"/>
      <c r="H147" s="12" t="inlineStr"/>
      <c r="I147" s="12" t="inlineStr"/>
    </row>
    <row r="148">
      <c r="A148" s="15" t="inlineStr">
        <is>
          <t>termination_rule_set</t>
        </is>
      </c>
      <c r="B148" s="15" t="inlineStr">
        <is>
          <t>BCEA default</t>
        </is>
      </c>
      <c r="C148" s="15" t="inlineStr">
        <is>
          <t>annual_bonus_min_service_months</t>
        </is>
      </c>
      <c r="D148" s="15" t="inlineStr">
        <is>
          <t>0</t>
        </is>
      </c>
      <c r="E148" s="16" t="inlineStr">
        <is>
          <t>Basic Conditions of Employment Act 75 of 1997, ss 37 and 41</t>
        </is>
      </c>
      <c r="F148" s="16" t="inlineStr">
        <is>
          <t>effective_from is the start of this reference data, not the provision's commencement. The rule itself is older. There is no statutory annual bonus in this sector, so the weeks are zero and the month is NULL. Contract cleaning is the sector that has one.</t>
        </is>
      </c>
      <c r="G148" s="12" t="inlineStr"/>
      <c r="H148" s="12" t="inlineStr"/>
      <c r="I148" s="12" t="inlineStr"/>
    </row>
    <row r="149">
      <c r="A149" s="15" t="inlineStr">
        <is>
          <t>termination_rule_set</t>
        </is>
      </c>
      <c r="B149" s="15" t="inlineStr">
        <is>
          <t>DOMESTIC</t>
        </is>
      </c>
      <c r="C149" s="15" t="inlineStr">
        <is>
          <t>notice_weeks_under_6_months</t>
        </is>
      </c>
      <c r="D149" s="15" t="inlineStr">
        <is>
          <t>1.00</t>
        </is>
      </c>
      <c r="E149" s="16" t="inlineStr">
        <is>
          <t>Sectoral Determination 7: Domestic Worker Sector, published in Regulation Gazette No. 7434 (consolidated text), read with Basic Conditions of Employment Act 75 of 1997 s37(1)(c)</t>
        </is>
      </c>
      <c r="F149" s="16" t="inlineStr">
        <is>
          <t>effective_from is the start of this reference data, not the provision's commencement. The rule itself is older. There is no statutory annual bonus in this sector, so the weeks are zero and the month is NULL. Contract cleaning is the sector that has one.</t>
        </is>
      </c>
      <c r="G149" s="12" t="inlineStr"/>
      <c r="H149" s="12" t="inlineStr"/>
      <c r="I149" s="12" t="inlineStr"/>
    </row>
    <row r="150">
      <c r="A150" s="15" t="inlineStr">
        <is>
          <t>termination_rule_set</t>
        </is>
      </c>
      <c r="B150" s="15" t="inlineStr">
        <is>
          <t>DOMESTIC</t>
        </is>
      </c>
      <c r="C150" s="15" t="inlineStr">
        <is>
          <t>notice_weeks_6_months_and_over</t>
        </is>
      </c>
      <c r="D150" s="15" t="inlineStr">
        <is>
          <t>4.00</t>
        </is>
      </c>
      <c r="E150" s="16" t="inlineStr">
        <is>
          <t>Sectoral Determination 7: Domestic Worker Sector, published in Regulation Gazette No. 7434 (consolidated text), read with Basic Conditions of Employment Act 75 of 1997 s37(1)(c)</t>
        </is>
      </c>
      <c r="F150" s="16" t="inlineStr">
        <is>
          <t>effective_from is the start of this reference data, not the provision's commencement. The rule itself is older. There is no statutory annual bonus in this sector, so the weeks are zero and the month is NULL. Contract cleaning is the sector that has one.</t>
        </is>
      </c>
      <c r="G150" s="12" t="inlineStr"/>
      <c r="H150" s="12" t="inlineStr"/>
      <c r="I150" s="12" t="inlineStr"/>
    </row>
    <row r="151">
      <c r="A151" s="15" t="inlineStr">
        <is>
          <t>termination_rule_set</t>
        </is>
      </c>
      <c r="B151" s="15" t="inlineStr">
        <is>
          <t>DOMESTIC</t>
        </is>
      </c>
      <c r="C151" s="15" t="inlineStr">
        <is>
          <t>notice_weeks_over_1_year</t>
        </is>
      </c>
      <c r="D151" s="15" t="inlineStr">
        <is>
          <t>4.00</t>
        </is>
      </c>
      <c r="E151" s="16" t="inlineStr">
        <is>
          <t>Sectoral Determination 7: Domestic Worker Sector, published in Regulation Gazette No. 7434 (consolidated text), read with Basic Conditions of Employment Act 75 of 1997 s37(1)(c)</t>
        </is>
      </c>
      <c r="F151" s="16" t="inlineStr">
        <is>
          <t>effective_from is the start of this reference data, not the provision's commencement. The rule itself is older. There is no statutory annual bonus in this sector, so the weeks are zero and the month is NULL. Contract cleaning is the sector that has one.</t>
        </is>
      </c>
      <c r="G151" s="12" t="inlineStr"/>
      <c r="H151" s="12" t="inlineStr"/>
      <c r="I151" s="12" t="inlineStr"/>
    </row>
    <row r="152">
      <c r="A152" s="15" t="inlineStr">
        <is>
          <t>termination_rule_set</t>
        </is>
      </c>
      <c r="B152" s="15" t="inlineStr">
        <is>
          <t>DOMESTIC</t>
        </is>
      </c>
      <c r="C152" s="15" t="inlineStr">
        <is>
          <t>severance_weeks_per_completed_year</t>
        </is>
      </c>
      <c r="D152" s="15" t="inlineStr">
        <is>
          <t>1.00</t>
        </is>
      </c>
      <c r="E152" s="16" t="inlineStr">
        <is>
          <t>Sectoral Determination 7: Domestic Worker Sector, published in Regulation Gazette No. 7434 (consolidated text), read with Basic Conditions of Employment Act 75 of 1997 s37(1)(c)</t>
        </is>
      </c>
      <c r="F152" s="16" t="inlineStr">
        <is>
          <t>effective_from is the start of this reference data, not the provision's commencement. The rule itself is older. There is no statutory annual bonus in this sector, so the weeks are zero and the month is NULL. Contract cleaning is the sector that has one.</t>
        </is>
      </c>
      <c r="G152" s="12" t="inlineStr"/>
      <c r="H152" s="12" t="inlineStr"/>
      <c r="I152" s="12" t="inlineStr"/>
    </row>
    <row r="153">
      <c r="A153" s="15" t="inlineStr">
        <is>
          <t>termination_rule_set</t>
        </is>
      </c>
      <c r="B153" s="15" t="inlineStr">
        <is>
          <t>DOMESTIC</t>
        </is>
      </c>
      <c r="C153" s="15" t="inlineStr">
        <is>
          <t>severance_requires_operational_reason</t>
        </is>
      </c>
      <c r="D153" s="15" t="inlineStr">
        <is>
          <t>True</t>
        </is>
      </c>
      <c r="E153" s="16" t="inlineStr">
        <is>
          <t>Sectoral Determination 7: Domestic Worker Sector, published in Regulation Gazette No. 7434 (consolidated text), read with Basic Conditions of Employment Act 75 of 1997 s37(1)(c)</t>
        </is>
      </c>
      <c r="F153" s="16" t="inlineStr">
        <is>
          <t>effective_from is the start of this reference data, not the provision's commencement. The rule itself is older. There is no statutory annual bonus in this sector, so the weeks are zero and the month is NULL. Contract cleaning is the sector that has one.</t>
        </is>
      </c>
      <c r="G153" s="12" t="inlineStr"/>
      <c r="H153" s="12" t="inlineStr"/>
      <c r="I153" s="12" t="inlineStr"/>
    </row>
    <row r="154">
      <c r="A154" s="15" t="inlineStr">
        <is>
          <t>termination_rule_set</t>
        </is>
      </c>
      <c r="B154" s="15" t="inlineStr">
        <is>
          <t>DOMESTIC</t>
        </is>
      </c>
      <c r="C154" s="15" t="inlineStr">
        <is>
          <t>annual_bonus_weeks</t>
        </is>
      </c>
      <c r="D154" s="15" t="inlineStr">
        <is>
          <t>0.000</t>
        </is>
      </c>
      <c r="E154" s="16" t="inlineStr">
        <is>
          <t>Sectoral Determination 7: Domestic Worker Sector, published in Regulation Gazette No. 7434 (consolidated text), read with Basic Conditions of Employment Act 75 of 1997 s37(1)(c)</t>
        </is>
      </c>
      <c r="F154" s="16" t="inlineStr">
        <is>
          <t>effective_from is the start of this reference data, not the provision's commencement. The rule itself is older. There is no statutory annual bonus in this sector, so the weeks are zero and the month is NULL. Contract cleaning is the sector that has one.</t>
        </is>
      </c>
      <c r="G154" s="12" t="inlineStr"/>
      <c r="H154" s="12" t="inlineStr"/>
      <c r="I154" s="12" t="inlineStr"/>
    </row>
    <row r="155">
      <c r="A155" s="15" t="inlineStr">
        <is>
          <t>termination_rule_set</t>
        </is>
      </c>
      <c r="B155" s="15" t="inlineStr">
        <is>
          <t>DOMESTIC</t>
        </is>
      </c>
      <c r="C155" s="15" t="inlineStr">
        <is>
          <t>annual_bonus_month</t>
        </is>
      </c>
      <c r="D155" s="15" t="inlineStr"/>
      <c r="E155" s="16" t="inlineStr">
        <is>
          <t>Sectoral Determination 7: Domestic Worker Sector, published in Regulation Gazette No. 7434 (consolidated text), read with Basic Conditions of Employment Act 75 of 1997 s37(1)(c)</t>
        </is>
      </c>
      <c r="F155" s="16" t="inlineStr">
        <is>
          <t>effective_from is the start of this reference data, not the provision's commencement. The rule itself is older. There is no statutory annual bonus in this sector, so the weeks are zero and the month is NULL. Contract cleaning is the sector that has one.</t>
        </is>
      </c>
      <c r="G155" s="12" t="inlineStr"/>
      <c r="H155" s="12" t="inlineStr"/>
      <c r="I155" s="12" t="inlineStr"/>
    </row>
    <row r="156">
      <c r="A156" s="15" t="inlineStr">
        <is>
          <t>termination_rule_set</t>
        </is>
      </c>
      <c r="B156" s="15" t="inlineStr">
        <is>
          <t>DOMESTIC</t>
        </is>
      </c>
      <c r="C156" s="15" t="inlineStr">
        <is>
          <t>annual_bonus_pro_rata_on_termination</t>
        </is>
      </c>
      <c r="D156" s="15" t="inlineStr">
        <is>
          <t>False</t>
        </is>
      </c>
      <c r="E156" s="16" t="inlineStr">
        <is>
          <t>Sectoral Determination 7: Domestic Worker Sector, published in Regulation Gazette No. 7434 (consolidated text), read with Basic Conditions of Employment Act 75 of 1997 s37(1)(c)</t>
        </is>
      </c>
      <c r="F156" s="16" t="inlineStr">
        <is>
          <t>effective_from is the start of this reference data, not the provision's commencement. The rule itself is older. There is no statutory annual bonus in this sector, so the weeks are zero and the month is NULL. Contract cleaning is the sector that has one.</t>
        </is>
      </c>
      <c r="G156" s="12" t="inlineStr"/>
      <c r="H156" s="12" t="inlineStr"/>
      <c r="I156" s="12" t="inlineStr"/>
    </row>
    <row r="157">
      <c r="A157" s="15" t="inlineStr">
        <is>
          <t>termination_rule_set</t>
        </is>
      </c>
      <c r="B157" s="15" t="inlineStr">
        <is>
          <t>DOMESTIC</t>
        </is>
      </c>
      <c r="C157" s="15" t="inlineStr">
        <is>
          <t>annual_bonus_min_service_months</t>
        </is>
      </c>
      <c r="D157" s="15" t="inlineStr">
        <is>
          <t>0</t>
        </is>
      </c>
      <c r="E157" s="16" t="inlineStr">
        <is>
          <t>Sectoral Determination 7: Domestic Worker Sector, published in Regulation Gazette No. 7434 (consolidated text), read with Basic Conditions of Employment Act 75 of 1997 s37(1)(c)</t>
        </is>
      </c>
      <c r="F157" s="16" t="inlineStr">
        <is>
          <t>effective_from is the start of this reference data, not the provision's commencement. The rule itself is older. There is no statutory annual bonus in this sector, so the weeks are zero and the month is NULL. Contract cleaning is the sector that has one.</t>
        </is>
      </c>
      <c r="G157" s="12" t="inlineStr"/>
      <c r="H157" s="12" t="inlineStr"/>
      <c r="I157" s="12" t="inlineStr"/>
    </row>
    <row r="158">
      <c r="A158" s="15" t="inlineStr">
        <is>
          <t>termination_rule_set</t>
        </is>
      </c>
      <c r="B158" s="15" t="inlineStr">
        <is>
          <t>CONTRACT_CLEANING</t>
        </is>
      </c>
      <c r="C158" s="15" t="inlineStr">
        <is>
          <t>notice_weeks_under_6_months</t>
        </is>
      </c>
      <c r="D158" s="15" t="inlineStr">
        <is>
          <t>4.00</t>
        </is>
      </c>
      <c r="E158" s="16" t="inlineStr">
        <is>
          <t>Sectoral Determination 1: Contract Cleaning Sector, current consolidated text (clauses 3, 8-24), clauses 3(3), 23 and 24</t>
        </is>
      </c>
      <c r="F158"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58" s="12" t="inlineStr"/>
      <c r="H158" s="12" t="inlineStr"/>
      <c r="I158" s="12" t="inlineStr"/>
    </row>
    <row r="159">
      <c r="A159" s="15" t="inlineStr">
        <is>
          <t>termination_rule_set</t>
        </is>
      </c>
      <c r="B159" s="15" t="inlineStr">
        <is>
          <t>CONTRACT_CLEANING</t>
        </is>
      </c>
      <c r="C159" s="15" t="inlineStr">
        <is>
          <t>notice_weeks_6_months_and_over</t>
        </is>
      </c>
      <c r="D159" s="15" t="inlineStr">
        <is>
          <t>4.00</t>
        </is>
      </c>
      <c r="E159" s="16" t="inlineStr">
        <is>
          <t>Sectoral Determination 1: Contract Cleaning Sector, current consolidated text (clauses 3, 8-24), clauses 3(3), 23 and 24</t>
        </is>
      </c>
      <c r="F159"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59" s="12" t="inlineStr"/>
      <c r="H159" s="12" t="inlineStr"/>
      <c r="I159" s="12" t="inlineStr"/>
    </row>
    <row r="160">
      <c r="A160" s="15" t="inlineStr">
        <is>
          <t>termination_rule_set</t>
        </is>
      </c>
      <c r="B160" s="15" t="inlineStr">
        <is>
          <t>CONTRACT_CLEANING</t>
        </is>
      </c>
      <c r="C160" s="15" t="inlineStr">
        <is>
          <t>notice_weeks_over_1_year</t>
        </is>
      </c>
      <c r="D160" s="15" t="inlineStr">
        <is>
          <t>4.00</t>
        </is>
      </c>
      <c r="E160" s="16" t="inlineStr">
        <is>
          <t>Sectoral Determination 1: Contract Cleaning Sector, current consolidated text (clauses 3, 8-24), clauses 3(3), 23 and 24</t>
        </is>
      </c>
      <c r="F160"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0" s="12" t="inlineStr"/>
      <c r="H160" s="12" t="inlineStr"/>
      <c r="I160" s="12" t="inlineStr"/>
    </row>
    <row r="161">
      <c r="A161" s="15" t="inlineStr">
        <is>
          <t>termination_rule_set</t>
        </is>
      </c>
      <c r="B161" s="15" t="inlineStr">
        <is>
          <t>CONTRACT_CLEANING</t>
        </is>
      </c>
      <c r="C161" s="15" t="inlineStr">
        <is>
          <t>severance_weeks_per_completed_year</t>
        </is>
      </c>
      <c r="D161" s="15" t="inlineStr">
        <is>
          <t>1.00</t>
        </is>
      </c>
      <c r="E161" s="16" t="inlineStr">
        <is>
          <t>Sectoral Determination 1: Contract Cleaning Sector, current consolidated text (clauses 3, 8-24), clauses 3(3), 23 and 24</t>
        </is>
      </c>
      <c r="F161"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1" s="12" t="inlineStr"/>
      <c r="H161" s="12" t="inlineStr"/>
      <c r="I161" s="12" t="inlineStr"/>
    </row>
    <row r="162">
      <c r="A162" s="15" t="inlineStr">
        <is>
          <t>termination_rule_set</t>
        </is>
      </c>
      <c r="B162" s="15" t="inlineStr">
        <is>
          <t>CONTRACT_CLEANING</t>
        </is>
      </c>
      <c r="C162" s="15" t="inlineStr">
        <is>
          <t>severance_requires_operational_reason</t>
        </is>
      </c>
      <c r="D162" s="15" t="inlineStr">
        <is>
          <t>True</t>
        </is>
      </c>
      <c r="E162" s="16" t="inlineStr">
        <is>
          <t>Sectoral Determination 1: Contract Cleaning Sector, current consolidated text (clauses 3, 8-24), clauses 3(3), 23 and 24</t>
        </is>
      </c>
      <c r="F162"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2" s="12" t="inlineStr"/>
      <c r="H162" s="12" t="inlineStr"/>
      <c r="I162" s="12" t="inlineStr"/>
    </row>
    <row r="163">
      <c r="A163" s="15" t="inlineStr">
        <is>
          <t>termination_rule_set</t>
        </is>
      </c>
      <c r="B163" s="15" t="inlineStr">
        <is>
          <t>CONTRACT_CLEANING</t>
        </is>
      </c>
      <c r="C163" s="15" t="inlineStr">
        <is>
          <t>annual_bonus_weeks</t>
        </is>
      </c>
      <c r="D163" s="15" t="inlineStr">
        <is>
          <t>4.333</t>
        </is>
      </c>
      <c r="E163" s="16" t="inlineStr">
        <is>
          <t>Sectoral Determination 1: Contract Cleaning Sector, current consolidated text (clauses 3, 8-24), clauses 3(3), 23 and 24</t>
        </is>
      </c>
      <c r="F163"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3" s="12" t="inlineStr"/>
      <c r="H163" s="12" t="inlineStr"/>
      <c r="I163" s="12" t="inlineStr"/>
    </row>
    <row r="164">
      <c r="A164" s="15" t="inlineStr">
        <is>
          <t>termination_rule_set</t>
        </is>
      </c>
      <c r="B164" s="15" t="inlineStr">
        <is>
          <t>CONTRACT_CLEANING</t>
        </is>
      </c>
      <c r="C164" s="15" t="inlineStr">
        <is>
          <t>annual_bonus_month</t>
        </is>
      </c>
      <c r="D164" s="15" t="inlineStr">
        <is>
          <t>12</t>
        </is>
      </c>
      <c r="E164" s="16" t="inlineStr">
        <is>
          <t>Sectoral Determination 1: Contract Cleaning Sector, current consolidated text (clauses 3, 8-24), clauses 3(3), 23 and 24</t>
        </is>
      </c>
      <c r="F164"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4" s="12" t="inlineStr"/>
      <c r="H164" s="12" t="inlineStr"/>
      <c r="I164" s="12" t="inlineStr"/>
    </row>
    <row r="165">
      <c r="A165" s="15" t="inlineStr">
        <is>
          <t>termination_rule_set</t>
        </is>
      </c>
      <c r="B165" s="15" t="inlineStr">
        <is>
          <t>CONTRACT_CLEANING</t>
        </is>
      </c>
      <c r="C165" s="15" t="inlineStr">
        <is>
          <t>annual_bonus_pro_rata_on_termination</t>
        </is>
      </c>
      <c r="D165" s="15" t="inlineStr">
        <is>
          <t>True</t>
        </is>
      </c>
      <c r="E165" s="16" t="inlineStr">
        <is>
          <t>Sectoral Determination 1: Contract Cleaning Sector, current consolidated text (clauses 3, 8-24), clauses 3(3), 23 and 24</t>
        </is>
      </c>
      <c r="F165"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5" s="12" t="inlineStr"/>
      <c r="H165" s="12" t="inlineStr"/>
      <c r="I165" s="12" t="inlineStr"/>
    </row>
    <row r="166">
      <c r="A166" s="15" t="inlineStr">
        <is>
          <t>termination_rule_set</t>
        </is>
      </c>
      <c r="B166" s="15" t="inlineStr">
        <is>
          <t>CONTRACT_CLEANING</t>
        </is>
      </c>
      <c r="C166" s="15" t="inlineStr">
        <is>
          <t>annual_bonus_min_service_months</t>
        </is>
      </c>
      <c r="D166" s="15" t="inlineStr">
        <is>
          <t>0</t>
        </is>
      </c>
      <c r="E166" s="16" t="inlineStr">
        <is>
          <t>Sectoral Determination 1: Contract Cleaning Sector, current consolidated text (clauses 3, 8-24), clauses 3(3), 23 and 24</t>
        </is>
      </c>
      <c r="F166" s="16" t="inlineStr">
        <is>
          <t>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is>
      </c>
      <c r="G166" s="12" t="inlineStr"/>
      <c r="H166" s="12" t="inlineStr"/>
      <c r="I166" s="12" t="inlineStr"/>
    </row>
  </sheetData>
  <conditionalFormatting sqref="G5:G166">
    <cfRule type="cellIs" priority="1" operator="equal" dxfId="0">
      <formula>"Y"</formula>
    </cfRule>
    <cfRule type="cellIs" priority="2" operator="equal" dxfId="1">
      <formula>"N"</formula>
    </cfRule>
    <cfRule type="cellIs" priority="3" operator="equal" dxfId="2">
      <formula>"Query"</formula>
    </cfRule>
  </conditionalFormatting>
  <dataValidations count="1">
    <dataValidation sqref="G5:G166" showDropDown="0" showInputMessage="1" showErrorMessage="1" allowBlank="1" errorTitle="One of three answers" error="Y if the loaded figure matches the source, N if it does not, Query if you could not find the document." promptTitle="Does the loaded value agree?" prompt="Y, N or Query." type="list">
      <formula1>"Y,N,Query"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5"/>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20" customWidth="1" min="3" max="3"/>
    <col width="46" customWidth="1" min="4" max="4"/>
    <col width="46" customWidth="1" min="5" max="5"/>
    <col width="60" customWidth="1" min="6" max="6"/>
    <col width="12" customWidth="1" min="7" max="7"/>
    <col width="18" customWidth="1" min="8" max="8"/>
    <col width="26" customWidth="1" min="9" max="9"/>
  </cols>
  <sheetData>
    <row r="1">
      <c r="A1" s="7" t="inlineStr">
        <is>
          <t>Source codes and their four base flags</t>
        </is>
      </c>
    </row>
    <row r="2">
      <c r="A2" s="8" t="inlineStr">
        <is>
          <t>The code and its wording are SARS's. The four flags are a reading of three statutes with three definitions of remuneration — those are what to check. READ THE COLUMN HEADING CAREFULLY: a flag says whether this amount is part of the BASE the levy is computed ON, not whether the levy is deducted. Code 4102 is PAYE itself and its PAYE flag is False, because PAYE is not calculated on PAYE. Every deduction and total reads that way.</t>
        </is>
      </c>
    </row>
    <row r="4">
      <c r="A4" s="9" t="inlineStr">
        <is>
          <t>Code</t>
        </is>
      </c>
      <c r="B4" s="9" t="inlineStr">
        <is>
          <t>Description</t>
        </is>
      </c>
      <c r="C4" s="9" t="inlineStr">
        <is>
          <t>Group</t>
        </is>
      </c>
      <c r="D4" s="9" t="inlineStr">
        <is>
          <t>Is this amount IN the base for…</t>
        </is>
      </c>
      <c r="E4" s="9" t="inlineStr">
        <is>
          <t>Cited to</t>
        </is>
      </c>
      <c r="F4" s="9" t="inlineStr">
        <is>
          <t>Reasoning</t>
        </is>
      </c>
      <c r="G4" s="9" t="inlineStr">
        <is>
          <t>Agrees?</t>
        </is>
      </c>
      <c r="H4" s="9" t="inlineStr">
        <is>
          <t>Correct value</t>
        </is>
      </c>
      <c r="I4" s="9" t="inlineStr">
        <is>
          <t>Where you checked</t>
        </is>
      </c>
    </row>
    <row r="5">
      <c r="A5" s="13" t="inlineStr">
        <is>
          <t>3601</t>
        </is>
      </c>
      <c r="B5" s="13" t="inlineStr">
        <is>
          <t>Income (Subject to PAYE)</t>
        </is>
      </c>
      <c r="C5" s="13" t="inlineStr">
        <is>
          <t>income</t>
        </is>
      </c>
      <c r="D5" s="13" t="inlineStr">
        <is>
          <t>PAYE True / UIF True / SDL True / COIDA True</t>
        </is>
      </c>
      <c r="E5" s="14" t="inlineStr">
        <is>
          <t>SARS Guide for Codes Applicable to Employees Tax Certificates (PAYE-AE-06-G06), 2026 issue</t>
        </is>
      </c>
      <c r="F5" s="14" t="inlineStr">
        <is>
          <t>Ordinary salary and wages - the code carrying most of every payslip in both sectors. In all four bases. UIF base: Unemployment Insurance Contributions Act 4 of 2002, s6 read with the s1 definition of remuneration. SDL base: Skills Development Levies Act 9 of 1999, s3, on the leviable amount - remuneration as defined in the Fourth Schedule to the Income Tax Act. COIDA base: Compensation for Occupational Injuries and Diseases Act 130 of 1993, s1 definition of earnings.</t>
        </is>
      </c>
      <c r="G5" s="12" t="inlineStr"/>
      <c r="H5" s="12" t="inlineStr"/>
      <c r="I5" s="12" t="inlineStr"/>
    </row>
    <row r="6">
      <c r="A6" s="13" t="inlineStr">
        <is>
          <t>3602</t>
        </is>
      </c>
      <c r="B6" s="13" t="inlineStr">
        <is>
          <t>Income (Non-taxable)</t>
        </is>
      </c>
      <c r="C6" s="13" t="inlineStr">
        <is>
          <t>income</t>
        </is>
      </c>
      <c r="D6" s="13" t="inlineStr">
        <is>
          <t>PAYE False / UIF False / SDL False / COIDA False</t>
        </is>
      </c>
      <c r="E6" s="14" t="inlineStr">
        <is>
          <t>SARS Guide for Codes Applicable to Employees Tax Certificates (PAYE-AE-06-G06), 2026 issue</t>
        </is>
      </c>
      <c r="F6" s="14" t="inlineStr">
        <is>
          <t>Outside the Fourth Schedule definition of remuneration, so outside the PAYE, UIF and SDL bases that are built on it.</t>
        </is>
      </c>
      <c r="G6" s="12" t="inlineStr"/>
      <c r="H6" s="12" t="inlineStr"/>
      <c r="I6" s="12" t="inlineStr"/>
    </row>
    <row r="7">
      <c r="A7" s="13" t="inlineStr">
        <is>
          <t>3605</t>
        </is>
      </c>
      <c r="B7" s="13" t="inlineStr">
        <is>
          <t>Annual payment (Subject to PAYE)</t>
        </is>
      </c>
      <c r="C7" s="13" t="inlineStr">
        <is>
          <t>income</t>
        </is>
      </c>
      <c r="D7" s="13" t="inlineStr">
        <is>
          <t>PAYE True / UIF True / SDL True / COIDA True</t>
        </is>
      </c>
      <c r="E7" s="14" t="inlineStr">
        <is>
          <t>SARS Guide for Codes Applicable to Employees Tax Certificates (PAYE-AE-06-G06), 2026 issue</t>
        </is>
      </c>
      <c r="F7" s="14" t="inlineStr">
        <is>
          <t>The December bonus, and the contract cleaning sector's 4,333-week statutory bonus. In every base - bonuses are NOT excluded from UIF, unlike commission. The classic PAYE error lives here: annualise regular pay by twelve, then add the annual payment ONCE. Multiplying the bonus by twelve is the December over-deduction. UIF base: Unemployment Insurance Contributions Act 4 of 2002, s6 read with the s1 definition of remuneration.</t>
        </is>
      </c>
      <c r="G7" s="12" t="inlineStr"/>
      <c r="H7" s="12" t="inlineStr"/>
      <c r="I7" s="12" t="inlineStr"/>
    </row>
    <row r="8">
      <c r="A8" s="10" t="inlineStr">
        <is>
          <t>3606</t>
        </is>
      </c>
      <c r="B8" s="10" t="inlineStr">
        <is>
          <t>Commission (Subject to PAYE)</t>
        </is>
      </c>
      <c r="C8" s="10" t="inlineStr">
        <is>
          <t>income</t>
        </is>
      </c>
      <c r="D8" s="10" t="inlineStr">
        <is>
          <t>PAYE True / UIF False / SDL True / COIDA True</t>
        </is>
      </c>
      <c r="E8" s="11" t="inlineStr">
        <is>
          <t>SARS Guide for Codes Applicable to Employees Tax Certificates (PAYE-AE-06-G06), 2026 issue</t>
        </is>
      </c>
      <c r="F8" s="11" t="inlineStr">
        <is>
          <t>THE ROW THIS TABLE EXISTS FOR. Commission is taxable, is inside the SDL leviable amount, and is OUTSIDE the UIF contribution base. A single is_taxable flag would get that wrong silently, and the error surfaces at a UI-19 reconciliation months later. UIF base: Unemployment Insurance Contributions Act 4 of 2002, s6 read with the s1 definition of remuneration. The exclusion is confirmed by the Payroll Authors Group of South Africa; VERIFY the exact paragraph of the s1 definition against the Act before this version is signed off.</t>
        </is>
      </c>
      <c r="G8" s="12" t="inlineStr">
        <is>
          <t>Y</t>
        </is>
      </c>
      <c r="H8" s="12" t="n"/>
      <c r="I8" s="12" t="n"/>
    </row>
    <row r="9">
      <c r="A9" s="10" t="inlineStr">
        <is>
          <t>3607</t>
        </is>
      </c>
      <c r="B9" s="10" t="inlineStr">
        <is>
          <t>Overtime (Subject to PAYE)</t>
        </is>
      </c>
      <c r="C9" s="10" t="inlineStr">
        <is>
          <t>income</t>
        </is>
      </c>
      <c r="D9" s="10" t="inlineStr">
        <is>
          <t>PAYE True / UIF True / SDL True / COIDA True</t>
        </is>
      </c>
      <c r="E9" s="11" t="inlineStr">
        <is>
          <t>SARS Guide for Codes Applicable to Employees Tax Certificates (PAYE-AE-06-G06), 2026 issue</t>
        </is>
      </c>
      <c r="F9" s="11" t="inlineStr">
        <is>
          <t>VERIFY THE COIDA FLAG. Overtime is plainly taxable and plainly in the UIF and SDL bases. COIDA's definition of earnings treats overtime differently depending on whether it is regular or casual, and this row takes the inclusive reading, which over-declares rather than under-declares on the Return of Earnings. A wrong answer here costs an assessment, not a payslip. One for the labour law review (O-06). COIDA base: Compensation for Occupational Injuries and Diseases Act 130 of 1993, s1 definition of earnings.</t>
        </is>
      </c>
      <c r="G9" s="12" t="inlineStr">
        <is>
          <t>Y</t>
        </is>
      </c>
      <c r="H9" s="12" t="n"/>
      <c r="I9" s="12" t="n"/>
    </row>
    <row r="10">
      <c r="A10" s="13" t="inlineStr">
        <is>
          <t>3696</t>
        </is>
      </c>
      <c r="B10" s="13" t="inlineStr">
        <is>
          <t>Gross non-taxable income</t>
        </is>
      </c>
      <c r="C10" s="13" t="inlineStr">
        <is>
          <t>total</t>
        </is>
      </c>
      <c r="D10" s="13" t="inlineStr">
        <is>
          <t>PAYE False / UIF False / SDL False / COIDA False</t>
        </is>
      </c>
      <c r="E10" s="14" t="inlineStr">
        <is>
          <t>SARS Guide for Codes Applicable to Employees Tax Certificates (PAYE-AE-06-G06), 2026 issue</t>
        </is>
      </c>
      <c r="F10" s="14" t="inlineStr">
        <is>
          <t>A total or a deduction, not a pay line. All four base flags are False because nothing is ever calculated FROM this code - it is calculated INTO it. A calculator that reads a base flag here has asked the wrong question.</t>
        </is>
      </c>
      <c r="G10" s="12" t="inlineStr"/>
      <c r="H10" s="12" t="inlineStr"/>
      <c r="I10" s="12" t="inlineStr"/>
    </row>
    <row r="11">
      <c r="A11" s="13" t="inlineStr">
        <is>
          <t>3699</t>
        </is>
      </c>
      <c r="B11" s="13" t="inlineStr">
        <is>
          <t>Gross employment income (taxable)</t>
        </is>
      </c>
      <c r="C11" s="13" t="inlineStr">
        <is>
          <t>total</t>
        </is>
      </c>
      <c r="D11" s="13" t="inlineStr">
        <is>
          <t>PAYE False / UIF False / SDL False / COIDA False</t>
        </is>
      </c>
      <c r="E11" s="14" t="inlineStr">
        <is>
          <t>SARS Guide for Codes Applicable to Employees Tax Certificates (PAYE-AE-06-G06), 2026 issue</t>
        </is>
      </c>
      <c r="F11" s="14" t="inlineStr">
        <is>
          <t>A total or a deduction, not a pay line. All four base flags are False because nothing is ever calculated FROM this code - it is calculated INTO it. A calculator that reads a base flag here has asked the wrong question.</t>
        </is>
      </c>
      <c r="G11" s="12" t="inlineStr"/>
      <c r="H11" s="12" t="inlineStr"/>
      <c r="I11" s="12" t="inlineStr"/>
    </row>
    <row r="12">
      <c r="A12" s="13" t="inlineStr">
        <is>
          <t>3713</t>
        </is>
      </c>
      <c r="B12" s="13" t="inlineStr">
        <is>
          <t>Other allowances (Subject to PAYE)</t>
        </is>
      </c>
      <c r="C12" s="13" t="inlineStr">
        <is>
          <t>allowance</t>
        </is>
      </c>
      <c r="D12" s="13" t="inlineStr">
        <is>
          <t>PAYE True / UIF True / SDL True / COIDA True</t>
        </is>
      </c>
      <c r="E12" s="14" t="inlineStr">
        <is>
          <t>SARS Guide for Codes Applicable to Employees Tax Certificates (PAYE-AE-06-G06), 2026 issue</t>
        </is>
      </c>
      <c r="F12" s="14" t="inlineStr">
        <is>
          <t>Where the sectoral allowances land: SD1's night allowance of 10 percent of the hourly wage, and SD7's standby allowance per shift. Both are remuneration in the ordinary sense and sit in every base.</t>
        </is>
      </c>
      <c r="G12" s="12" t="inlineStr"/>
      <c r="H12" s="12" t="inlineStr"/>
      <c r="I12" s="12" t="inlineStr"/>
    </row>
    <row r="13">
      <c r="A13" s="13" t="inlineStr">
        <is>
          <t>3714</t>
        </is>
      </c>
      <c r="B13" s="13" t="inlineStr">
        <is>
          <t>Other allowances (Non-taxable)</t>
        </is>
      </c>
      <c r="C13" s="13" t="inlineStr">
        <is>
          <t>allowance</t>
        </is>
      </c>
      <c r="D13" s="13" t="inlineStr">
        <is>
          <t>PAYE False / UIF False / SDL False / COIDA False</t>
        </is>
      </c>
      <c r="E13" s="14" t="inlineStr">
        <is>
          <t>SARS Guide for Codes Applicable to Employees Tax Certificates (PAYE-AE-06-G06), 2026 issue</t>
        </is>
      </c>
      <c r="F13" s="14" t="inlineStr">
        <is>
          <t>Non-taxable by definition, and therefore outside the bases built on it.</t>
        </is>
      </c>
      <c r="G13" s="12" t="inlineStr"/>
      <c r="H13" s="12" t="inlineStr"/>
      <c r="I13" s="12" t="inlineStr"/>
    </row>
    <row r="14">
      <c r="A14" s="13" t="inlineStr">
        <is>
          <t>3801</t>
        </is>
      </c>
      <c r="B14" s="13" t="inlineStr">
        <is>
          <t>General fringe benefits (Subject to PAYE)</t>
        </is>
      </c>
      <c r="C14" s="13" t="inlineStr">
        <is>
          <t>fringe_benefit</t>
        </is>
      </c>
      <c r="D14" s="13" t="inlineStr">
        <is>
          <t>PAYE True / UIF True / SDL True / COIDA True</t>
        </is>
      </c>
      <c r="E14" s="14" t="inlineStr">
        <is>
          <t>SARS Guide for Codes Applicable to Employees Tax Certificates (PAYE-AE-06-G06), 2026 issue</t>
        </is>
      </c>
      <c r="F14" s="14" t="inlineStr">
        <is>
          <t>The domestic sector's live case is accommodation. SD7 permits a deduction of up to 10 percent of the wage for a room that meets its standard - a DEDUCTION from pay, which is a different thing from the taxable value of a benefit, and the two must not be netted against each other on a payslip.</t>
        </is>
      </c>
      <c r="G14" s="12" t="inlineStr"/>
      <c r="H14" s="12" t="inlineStr"/>
      <c r="I14" s="12" t="inlineStr"/>
    </row>
    <row r="15">
      <c r="A15" s="13" t="inlineStr">
        <is>
          <t>3810</t>
        </is>
      </c>
      <c r="B15" s="13" t="inlineStr">
        <is>
          <t>Medical aid contributions (Subject to PAYE)</t>
        </is>
      </c>
      <c r="C15" s="13" t="inlineStr">
        <is>
          <t>fringe_benefit</t>
        </is>
      </c>
      <c r="D15" s="13" t="inlineStr">
        <is>
          <t>PAYE True / UIF True / SDL True / COIDA True</t>
        </is>
      </c>
      <c r="E15" s="14" t="inlineStr">
        <is>
          <t>SARS Guide for Codes Applicable to Employees Tax Certificates (PAYE-AE-06-G06), 2026 issue</t>
        </is>
      </c>
      <c r="F15" s="14" t="inlineStr">
        <is>
          <t>The employer's contribution to a medical scheme, taxed as a fringe benefit. Rare in both sectors, and the medical scheme fees tax credit that offsets it is code 4116.</t>
        </is>
      </c>
      <c r="G15" s="12" t="inlineStr"/>
      <c r="H15" s="12" t="inlineStr"/>
      <c r="I15" s="12" t="inlineStr"/>
    </row>
    <row r="16">
      <c r="A16" s="10" t="inlineStr">
        <is>
          <t>3901</t>
        </is>
      </c>
      <c r="B16" s="10" t="inlineStr">
        <is>
          <t>Gratuities / Severance Benefits (Subject to PAYE)</t>
        </is>
      </c>
      <c r="C16" s="10" t="inlineStr">
        <is>
          <t>income</t>
        </is>
      </c>
      <c r="D16" s="10" t="inlineStr">
        <is>
          <t>PAYE True / UIF False / SDL False / COIDA False</t>
        </is>
      </c>
      <c r="E16" s="11" t="inlineStr">
        <is>
          <t>SARS PAYE-AE-06-G06, Guide for Codes Applicable to Employees Tax Certificates 2026, revision 13, effective 19 September 2025</t>
        </is>
      </c>
      <c r="F16" s="11" t="inlineStr">
        <is>
          <t>The guide: 'Severance benefits, as defined, paid/payable by an employer after 1 March 2011, if employee: is 55 years or older; became permanently incapable to be employed due to ill health, etc.; or services terminated due to reduction of personnel or employer ceased trading.' THE THIRD LIMB IS THE ONE THIS PRODUCT USES: 'reduction of personnel' is dismissal for operational requirements, which is the only ground on which BCEA s41 severance is due. It matches EmployeeEngagement.SEVERANCE_REASONS exactly. A lump sum on resignation, or on retirement below 55, is NOT a severance benefit and goes to 3907 - the guide says MUST. 3951 is for foreign services income only and is not loaded. UIF base False: UICA 4 of 2002 s1 excludes paragraph (d) gross income amounts, and the guide places this code in paragraph (d). SDL base False: SDLA 9 of 1999 s3 excludes paragraph (d) likewise. COIDA base False is a READING, NOT A CITATION - VERIFY. No source was found naming termination lump sums in the COIDA earnings definition; False is the reading that a severance benefit is not earnings in respect of employment during the assessment period.</t>
        </is>
      </c>
      <c r="G16" s="12" t="inlineStr">
        <is>
          <t>Y</t>
        </is>
      </c>
      <c r="H16" s="12" t="n"/>
      <c r="I16" s="12" t="n"/>
    </row>
    <row r="17">
      <c r="A17" s="10" t="inlineStr">
        <is>
          <t>3907</t>
        </is>
      </c>
      <c r="B17" s="10" t="inlineStr">
        <is>
          <t>Other lump sums (Subject to PAYE)</t>
        </is>
      </c>
      <c r="C17" s="10" t="inlineStr">
        <is>
          <t>income</t>
        </is>
      </c>
      <c r="D17" s="10" t="inlineStr">
        <is>
          <t>PAYE True / UIF False / SDL False / COIDA False</t>
        </is>
      </c>
      <c r="E17" s="11" t="inlineStr">
        <is>
          <t>SARS PAYE-AE-06-G06, Guide for Codes Applicable to Employees Tax Certificates 2026, revision 13, effective 19 September 2025</t>
        </is>
      </c>
      <c r="F17" s="11" t="inlineStr">
        <is>
          <t>Loaded because leaving it out is the trap. The guide's note on 3901 says a lump sum under paragraph (d) of 'gross income' which is NOT a severance benefit MUST be reflected under 3907 - so without this code the only one available would be 3901, which is exactly the misfiling that note exists to prevent. The guide's examples: 'A lump sum payment paid/payable by an employer due to normal termination of service (e.g., resignation or retirement), which is NOT a severance benefit' and 'Gratuity paid to an employee due to normal termination of service (e.g., resignation or a lump sum paid upon retirement where employee is below 55 years of age).' 3957 is for foreign services income only and is not loaded. Base flags derived exactly as for 3901, same paragraph (d), same two statutes. COIDA base False is a READING - VERIFY.</t>
        </is>
      </c>
      <c r="G17" s="12" t="inlineStr">
        <is>
          <t>Y</t>
        </is>
      </c>
      <c r="H17" s="12" t="n"/>
      <c r="I17" s="12" t="n"/>
    </row>
    <row r="18">
      <c r="A18" s="10" t="inlineStr">
        <is>
          <t>4001</t>
        </is>
      </c>
      <c r="B18" s="10" t="inlineStr">
        <is>
          <t>Current pension fund contributions</t>
        </is>
      </c>
      <c r="C18" s="10" t="inlineStr">
        <is>
          <t>deduction</t>
        </is>
      </c>
      <c r="D18" s="10" t="inlineStr">
        <is>
          <t>PAYE False / UIF False / SDL False / COIDA False</t>
        </is>
      </c>
      <c r="E18" s="11" t="inlineStr">
        <is>
          <t>SARS Guide for Codes Applicable to Employees Tax Certificates (PAYE-AE-06-G06), 2026 issue</t>
        </is>
      </c>
      <c r="F18"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8" s="12" t="inlineStr">
        <is>
          <t>Y</t>
        </is>
      </c>
      <c r="H18" s="12" t="n"/>
      <c r="I18" s="12" t="inlineStr">
        <is>
          <t>SARS PAYE-AE-06-G06 rev 13 (2026 guide), s3 valid-codes table — the flags say whether the amount is IN the base the levy is computed on. Nothing is ever computed from a deduction or a total, so all four are false by construction.</t>
        </is>
      </c>
    </row>
    <row r="19">
      <c r="A19" s="10" t="inlineStr">
        <is>
          <t>4003</t>
        </is>
      </c>
      <c r="B19" s="10" t="inlineStr">
        <is>
          <t>Current and arrear provident fund contributions</t>
        </is>
      </c>
      <c r="C19" s="10" t="inlineStr">
        <is>
          <t>deduction</t>
        </is>
      </c>
      <c r="D19" s="10" t="inlineStr">
        <is>
          <t>PAYE False / UIF False / SDL False / COIDA False</t>
        </is>
      </c>
      <c r="E19" s="11" t="inlineStr">
        <is>
          <t>SARS Guide for Codes Applicable to Employees Tax Certificates (PAYE-AE-06-G06), 2026 issue</t>
        </is>
      </c>
      <c r="F19" s="11" t="inlineStr">
        <is>
          <t>The contract cleaning sector has a national provident fund under SD1 clause 32, so this code carries real traffic there. Its contribution rates are not loaded - they are not in this table's scope and were not researched.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19" s="12" t="inlineStr">
        <is>
          <t>Y</t>
        </is>
      </c>
      <c r="H19" s="12" t="n"/>
      <c r="I19" s="12" t="inlineStr">
        <is>
          <t>SARS PAYE-AE-06-G06 rev 13 (2026 guide), s3 valid-codes table — the flags say whether the amount is IN the base the levy is computed on. Nothing is ever computed from a deduction or a total, so all four are false by construction.</t>
        </is>
      </c>
    </row>
    <row r="20">
      <c r="A20" s="10" t="inlineStr">
        <is>
          <t>4005</t>
        </is>
      </c>
      <c r="B20" s="10" t="inlineStr">
        <is>
          <t>Medical scheme contributions (employee)</t>
        </is>
      </c>
      <c r="C20" s="10" t="inlineStr">
        <is>
          <t>deduction</t>
        </is>
      </c>
      <c r="D20" s="10" t="inlineStr">
        <is>
          <t>PAYE False / UIF False / SDL False / COIDA False</t>
        </is>
      </c>
      <c r="E20" s="11" t="inlineStr">
        <is>
          <t>SARS Guide for Codes Applicable to Employees Tax Certificates (PAYE-AE-06-G06), 2026 issue</t>
        </is>
      </c>
      <c r="F20"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20" s="12" t="inlineStr">
        <is>
          <t>Y</t>
        </is>
      </c>
      <c r="H20" s="12" t="n"/>
      <c r="I20" s="12" t="inlineStr">
        <is>
          <t>SARS PAYE-AE-06-G06 rev 13 (2026 guide), s3 valid-codes table — the flags say whether the amount is IN the base the levy is computed on. Nothing is ever computed from a deduction or a total, so all four are false by construction.</t>
        </is>
      </c>
    </row>
    <row r="21">
      <c r="A21" s="10" t="inlineStr">
        <is>
          <t>4102</t>
        </is>
      </c>
      <c r="B21" s="10" t="inlineStr">
        <is>
          <t>PAYE</t>
        </is>
      </c>
      <c r="C21" s="10" t="inlineStr">
        <is>
          <t>deduction</t>
        </is>
      </c>
      <c r="D21" s="10" t="inlineStr">
        <is>
          <t>PAYE False / UIF False / SDL False / COIDA False</t>
        </is>
      </c>
      <c r="E21" s="11" t="inlineStr">
        <is>
          <t>SARS Guide for Codes Applicable to Employees Tax Certificates (PAYE-AE-06-G06), 2026 issue</t>
        </is>
      </c>
      <c r="F21"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21" s="12" t="inlineStr">
        <is>
          <t>Y</t>
        </is>
      </c>
      <c r="H21" s="12" t="n"/>
      <c r="I21" s="12" t="inlineStr">
        <is>
          <t>SARS PAYE-AE-06-G06 rev 13 (2026 guide), s3 valid-codes table — the flags say whether the amount is IN the base the levy is computed on. Nothing is ever computed from a deduction or a total, so all four are false by construction.</t>
        </is>
      </c>
    </row>
    <row r="22">
      <c r="A22" s="10" t="inlineStr">
        <is>
          <t>4116</t>
        </is>
      </c>
      <c r="B22" s="10" t="inlineStr">
        <is>
          <t>Medical scheme fees tax credit</t>
        </is>
      </c>
      <c r="C22" s="10" t="inlineStr">
        <is>
          <t>deduction</t>
        </is>
      </c>
      <c r="D22" s="10" t="inlineStr">
        <is>
          <t>PAYE False / UIF False / SDL False / COIDA False</t>
        </is>
      </c>
      <c r="E22" s="11" t="inlineStr">
        <is>
          <t>SARS Guide for Codes Applicable to Employees Tax Certificates (PAYE-AE-06-G06), 2026 issue</t>
        </is>
      </c>
      <c r="F22" s="11" t="inlineStr">
        <is>
          <t>Offsets PAYE rather than reducing income, which is why it is a credit and not a deduction from remuneration.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22" s="12" t="inlineStr">
        <is>
          <t>Y</t>
        </is>
      </c>
      <c r="H22" s="12" t="n"/>
      <c r="I22" s="12" t="inlineStr">
        <is>
          <t>SARS PAYE-AE-06-G06 rev 13 (2026 guide), s3 valid-codes table — the flags say whether the amount is IN the base the levy is computed on. Nothing is ever computed from a deduction or a total, so all four are false by construction.</t>
        </is>
      </c>
    </row>
    <row r="23">
      <c r="A23" s="10" t="inlineStr">
        <is>
          <t>4141</t>
        </is>
      </c>
      <c r="B23" s="10" t="inlineStr">
        <is>
          <t>UIF contribution (employee and employer)</t>
        </is>
      </c>
      <c r="C23" s="10" t="inlineStr">
        <is>
          <t>deduction</t>
        </is>
      </c>
      <c r="D23" s="10" t="inlineStr">
        <is>
          <t>PAYE False / UIF False / SDL False / COIDA False</t>
        </is>
      </c>
      <c r="E23" s="11" t="inlineStr">
        <is>
          <t>SARS Guide for Codes Applicable to Employees Tax Certificates (PAYE-AE-06-G06), 2026 issue</t>
        </is>
      </c>
      <c r="F23" s="11" t="inlineStr">
        <is>
          <t>Carries BOTH contributions - the employee's one percent and the employer's - as a single figure on the certificate. Reporting only the employee half is a common reconciliation error.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23" s="12" t="inlineStr">
        <is>
          <t>Y</t>
        </is>
      </c>
      <c r="H23" s="12" t="n"/>
      <c r="I23" s="12" t="inlineStr">
        <is>
          <t>SARS PAYE-AE-06-G06 rev 13 (2026 guide), s3 valid-codes table — the flags say whether the amount is IN the base the levy is computed on. Nothing is ever computed from a deduction or a total, so all four are false by construction.</t>
        </is>
      </c>
    </row>
    <row r="24">
      <c r="A24" s="10" t="inlineStr">
        <is>
          <t>4142</t>
        </is>
      </c>
      <c r="B24" s="10" t="inlineStr">
        <is>
          <t>SDL contribution</t>
        </is>
      </c>
      <c r="C24" s="10" t="inlineStr">
        <is>
          <t>deduction</t>
        </is>
      </c>
      <c r="D24" s="10" t="inlineStr">
        <is>
          <t>PAYE False / UIF False / SDL False / COIDA False</t>
        </is>
      </c>
      <c r="E24" s="11" t="inlineStr">
        <is>
          <t>SARS Guide for Codes Applicable to Employees Tax Certificates (PAYE-AE-06-G06), 2026 issue</t>
        </is>
      </c>
      <c r="F24" s="11" t="inlineStr">
        <is>
          <t>An employer liability, never deducted from the employee.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24" s="12" t="inlineStr">
        <is>
          <t>Y</t>
        </is>
      </c>
      <c r="H24" s="12" t="n"/>
      <c r="I24" s="12" t="inlineStr">
        <is>
          <t>SARS PAYE-AE-06-G06 rev 13 (2026 guide), s3 valid-codes table — the flags say whether the amount is IN the base the levy is computed on. Nothing is ever computed from a deduction or a total, so all four are false by construction.</t>
        </is>
      </c>
    </row>
    <row r="25">
      <c r="A25" s="10" t="inlineStr">
        <is>
          <t>4149</t>
        </is>
      </c>
      <c r="B25" s="10" t="inlineStr">
        <is>
          <t>Total tax, UIF and SDL</t>
        </is>
      </c>
      <c r="C25" s="10" t="inlineStr">
        <is>
          <t>total</t>
        </is>
      </c>
      <c r="D25" s="10" t="inlineStr">
        <is>
          <t>PAYE False / UIF False / SDL False / COIDA False</t>
        </is>
      </c>
      <c r="E25" s="11" t="inlineStr">
        <is>
          <t>SARS Guide for Codes Applicable to Employees Tax Certificates (PAYE-AE-06-G06), 2026 issue</t>
        </is>
      </c>
      <c r="F25" s="11" t="inlineStr">
        <is>
          <t>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is>
      </c>
      <c r="G25" s="12" t="inlineStr">
        <is>
          <t>Y</t>
        </is>
      </c>
      <c r="H25" s="12" t="n"/>
      <c r="I25" s="12" t="inlineStr">
        <is>
          <t>SARS PAYE-AE-06-G06 rev 13 (2026 guide), s3 valid-codes table — the flags say whether the amount is IN the base the levy is computed on. Nothing is ever computed from a deduction or a total, so all four are false by construction.</t>
        </is>
      </c>
    </row>
  </sheetData>
  <conditionalFormatting sqref="G5:G25">
    <cfRule type="cellIs" priority="1" operator="equal" dxfId="0">
      <formula>"Y"</formula>
    </cfRule>
    <cfRule type="cellIs" priority="2" operator="equal" dxfId="1">
      <formula>"N"</formula>
    </cfRule>
    <cfRule type="cellIs" priority="3" operator="equal" dxfId="2">
      <formula>"Query"</formula>
    </cfRule>
  </conditionalFormatting>
  <dataValidations count="1">
    <dataValidation sqref="G5:G25" showDropDown="0" showInputMessage="1" showErrorMessage="1" allowBlank="1" errorTitle="One of three answers" error="Y if the loaded figure matches the source, N if it does not, Query if you could not find the document." promptTitle="Does the loaded value agree?" prompt="Y, N or Query." type="list">
      <formula1>"Y,N,Query"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14" customWidth="1" min="1" max="1"/>
    <col width="34" customWidth="1" min="2" max="2"/>
    <col width="14" customWidth="1" min="3" max="3"/>
    <col width="46" customWidth="1" min="4" max="4"/>
    <col width="12" customWidth="1" min="5" max="5"/>
    <col width="18" customWidth="1" min="6" max="6"/>
    <col width="26" customWidth="1" min="7" max="7"/>
  </cols>
  <sheetData>
    <row r="1">
      <c r="A1" s="7" t="inlineStr">
        <is>
          <t>Public holidays, 2026 and 2027</t>
        </is>
      </c>
    </row>
    <row r="2">
      <c r="A2" s="8" t="inlineStr">
        <is>
          <t>Generated from the Public Holidays Act, including the Sunday rule: a holiday falling on a Sunday is observed on the Monday.</t>
        </is>
      </c>
    </row>
    <row r="4">
      <c r="A4" s="9" t="inlineStr">
        <is>
          <t>Date</t>
        </is>
      </c>
      <c r="B4" s="9" t="inlineStr">
        <is>
          <t>Holiday</t>
        </is>
      </c>
      <c r="C4" s="9" t="inlineStr">
        <is>
          <t>Monday shift</t>
        </is>
      </c>
      <c r="D4" s="9" t="inlineStr">
        <is>
          <t>Cited to</t>
        </is>
      </c>
      <c r="E4" s="9" t="inlineStr">
        <is>
          <t>Agrees?</t>
        </is>
      </c>
      <c r="F4" s="9" t="inlineStr">
        <is>
          <t>Correct value</t>
        </is>
      </c>
      <c r="G4" s="9" t="inlineStr">
        <is>
          <t>Where you checked</t>
        </is>
      </c>
    </row>
    <row r="5">
      <c r="A5" s="13" t="inlineStr">
        <is>
          <t>2026-01-01</t>
        </is>
      </c>
      <c r="B5" s="13" t="inlineStr">
        <is>
          <t>New Year's Day</t>
        </is>
      </c>
      <c r="C5" s="13" t="inlineStr"/>
      <c r="D5" s="13" t="inlineStr">
        <is>
          <t>Public Holidays Act 36 of 1994, Schedule 1</t>
        </is>
      </c>
      <c r="E5" s="12" t="inlineStr"/>
      <c r="F5" s="12" t="inlineStr"/>
      <c r="G5" s="12" t="inlineStr"/>
    </row>
    <row r="6">
      <c r="A6" s="13" t="inlineStr">
        <is>
          <t>2026-03-21</t>
        </is>
      </c>
      <c r="B6" s="13" t="inlineStr">
        <is>
          <t>Human Rights Day</t>
        </is>
      </c>
      <c r="C6" s="13" t="inlineStr"/>
      <c r="D6" s="13" t="inlineStr">
        <is>
          <t>Public Holidays Act 36 of 1994, Schedule 1</t>
        </is>
      </c>
      <c r="E6" s="12" t="inlineStr"/>
      <c r="F6" s="12" t="inlineStr"/>
      <c r="G6" s="12" t="inlineStr"/>
    </row>
    <row r="7">
      <c r="A7" s="13" t="inlineStr">
        <is>
          <t>2026-04-03</t>
        </is>
      </c>
      <c r="B7" s="13" t="inlineStr">
        <is>
          <t>Good Friday</t>
        </is>
      </c>
      <c r="C7" s="13" t="inlineStr"/>
      <c r="D7" s="13" t="inlineStr">
        <is>
          <t>Public Holidays Act 36 of 1994, Schedule 1</t>
        </is>
      </c>
      <c r="E7" s="12" t="inlineStr"/>
      <c r="F7" s="12" t="inlineStr"/>
      <c r="G7" s="12" t="inlineStr"/>
    </row>
    <row r="8">
      <c r="A8" s="13" t="inlineStr">
        <is>
          <t>2026-04-06</t>
        </is>
      </c>
      <c r="B8" s="13" t="inlineStr">
        <is>
          <t>Family Day</t>
        </is>
      </c>
      <c r="C8" s="13" t="inlineStr"/>
      <c r="D8" s="13" t="inlineStr">
        <is>
          <t>Public Holidays Act 36 of 1994, Schedule 1</t>
        </is>
      </c>
      <c r="E8" s="12" t="inlineStr"/>
      <c r="F8" s="12" t="inlineStr"/>
      <c r="G8" s="12" t="inlineStr"/>
    </row>
    <row r="9">
      <c r="A9" s="13" t="inlineStr">
        <is>
          <t>2026-04-27</t>
        </is>
      </c>
      <c r="B9" s="13" t="inlineStr">
        <is>
          <t>Freedom Day</t>
        </is>
      </c>
      <c r="C9" s="13" t="inlineStr"/>
      <c r="D9" s="13" t="inlineStr">
        <is>
          <t>Public Holidays Act 36 of 1994, Schedule 1</t>
        </is>
      </c>
      <c r="E9" s="12" t="inlineStr"/>
      <c r="F9" s="12" t="inlineStr"/>
      <c r="G9" s="12" t="inlineStr"/>
    </row>
    <row r="10">
      <c r="A10" s="13" t="inlineStr">
        <is>
          <t>2026-05-01</t>
        </is>
      </c>
      <c r="B10" s="13" t="inlineStr">
        <is>
          <t>Workers' Day</t>
        </is>
      </c>
      <c r="C10" s="13" t="inlineStr"/>
      <c r="D10" s="13" t="inlineStr">
        <is>
          <t>Public Holidays Act 36 of 1994, Schedule 1</t>
        </is>
      </c>
      <c r="E10" s="12" t="inlineStr"/>
      <c r="F10" s="12" t="inlineStr"/>
      <c r="G10" s="12" t="inlineStr"/>
    </row>
    <row r="11">
      <c r="A11" s="13" t="inlineStr">
        <is>
          <t>2026-06-16</t>
        </is>
      </c>
      <c r="B11" s="13" t="inlineStr">
        <is>
          <t>Youth Day</t>
        </is>
      </c>
      <c r="C11" s="13" t="inlineStr"/>
      <c r="D11" s="13" t="inlineStr">
        <is>
          <t>Public Holidays Act 36 of 1994, Schedule 1</t>
        </is>
      </c>
      <c r="E11" s="12" t="inlineStr"/>
      <c r="F11" s="12" t="inlineStr"/>
      <c r="G11" s="12" t="inlineStr"/>
    </row>
    <row r="12">
      <c r="A12" s="13" t="inlineStr">
        <is>
          <t>2026-08-10</t>
        </is>
      </c>
      <c r="B12" s="13" t="inlineStr">
        <is>
          <t>National Women's Day</t>
        </is>
      </c>
      <c r="C12" s="13" t="inlineStr">
        <is>
          <t>shifted from 2026-08-09</t>
        </is>
      </c>
      <c r="D12" s="13" t="inlineStr">
        <is>
          <t>Public Holidays Act 36 of 1994, s2(1)</t>
        </is>
      </c>
      <c r="E12" s="12" t="inlineStr"/>
      <c r="F12" s="12" t="inlineStr"/>
      <c r="G12" s="12" t="inlineStr"/>
    </row>
    <row r="13">
      <c r="A13" s="13" t="inlineStr">
        <is>
          <t>2026-09-24</t>
        </is>
      </c>
      <c r="B13" s="13" t="inlineStr">
        <is>
          <t>Heritage Day</t>
        </is>
      </c>
      <c r="C13" s="13" t="inlineStr"/>
      <c r="D13" s="13" t="inlineStr">
        <is>
          <t>Public Holidays Act 36 of 1994, Schedule 1</t>
        </is>
      </c>
      <c r="E13" s="12" t="inlineStr"/>
      <c r="F13" s="12" t="inlineStr"/>
      <c r="G13" s="12" t="inlineStr"/>
    </row>
    <row r="14">
      <c r="A14" s="13" t="inlineStr">
        <is>
          <t>2026-12-16</t>
        </is>
      </c>
      <c r="B14" s="13" t="inlineStr">
        <is>
          <t>Day of Reconciliation</t>
        </is>
      </c>
      <c r="C14" s="13" t="inlineStr"/>
      <c r="D14" s="13" t="inlineStr">
        <is>
          <t>Public Holidays Act 36 of 1994, Schedule 1</t>
        </is>
      </c>
      <c r="E14" s="12" t="inlineStr"/>
      <c r="F14" s="12" t="inlineStr"/>
      <c r="G14" s="12" t="inlineStr"/>
    </row>
    <row r="15">
      <c r="A15" s="13" t="inlineStr">
        <is>
          <t>2026-12-25</t>
        </is>
      </c>
      <c r="B15" s="13" t="inlineStr">
        <is>
          <t>Christmas Day</t>
        </is>
      </c>
      <c r="C15" s="13" t="inlineStr"/>
      <c r="D15" s="13" t="inlineStr">
        <is>
          <t>Public Holidays Act 36 of 1994, Schedule 1</t>
        </is>
      </c>
      <c r="E15" s="12" t="inlineStr"/>
      <c r="F15" s="12" t="inlineStr"/>
      <c r="G15" s="12" t="inlineStr"/>
    </row>
    <row r="16">
      <c r="A16" s="13" t="inlineStr">
        <is>
          <t>2026-12-26</t>
        </is>
      </c>
      <c r="B16" s="13" t="inlineStr">
        <is>
          <t>Day of Goodwill</t>
        </is>
      </c>
      <c r="C16" s="13" t="inlineStr"/>
      <c r="D16" s="13" t="inlineStr">
        <is>
          <t>Public Holidays Act 36 of 1994, Schedule 1</t>
        </is>
      </c>
      <c r="E16" s="12" t="inlineStr"/>
      <c r="F16" s="12" t="inlineStr"/>
      <c r="G16" s="12" t="inlineStr"/>
    </row>
    <row r="17">
      <c r="A17" s="13" t="inlineStr">
        <is>
          <t>2027-01-01</t>
        </is>
      </c>
      <c r="B17" s="13" t="inlineStr">
        <is>
          <t>New Year's Day</t>
        </is>
      </c>
      <c r="C17" s="13" t="inlineStr"/>
      <c r="D17" s="13" t="inlineStr">
        <is>
          <t>Public Holidays Act 36 of 1994, Schedule 1</t>
        </is>
      </c>
      <c r="E17" s="12" t="inlineStr"/>
      <c r="F17" s="12" t="inlineStr"/>
      <c r="G17" s="12" t="inlineStr"/>
    </row>
    <row r="18">
      <c r="A18" s="13" t="inlineStr">
        <is>
          <t>2027-03-22</t>
        </is>
      </c>
      <c r="B18" s="13" t="inlineStr">
        <is>
          <t>Human Rights Day</t>
        </is>
      </c>
      <c r="C18" s="13" t="inlineStr">
        <is>
          <t>shifted from 2027-03-21</t>
        </is>
      </c>
      <c r="D18" s="13" t="inlineStr">
        <is>
          <t>Public Holidays Act 36 of 1994, s2(1)</t>
        </is>
      </c>
      <c r="E18" s="12" t="inlineStr"/>
      <c r="F18" s="12" t="inlineStr"/>
      <c r="G18" s="12" t="inlineStr"/>
    </row>
    <row r="19">
      <c r="A19" s="13" t="inlineStr">
        <is>
          <t>2027-03-26</t>
        </is>
      </c>
      <c r="B19" s="13" t="inlineStr">
        <is>
          <t>Good Friday</t>
        </is>
      </c>
      <c r="C19" s="13" t="inlineStr"/>
      <c r="D19" s="13" t="inlineStr">
        <is>
          <t>Public Holidays Act 36 of 1994, Schedule 1</t>
        </is>
      </c>
      <c r="E19" s="12" t="inlineStr"/>
      <c r="F19" s="12" t="inlineStr"/>
      <c r="G19" s="12" t="inlineStr"/>
    </row>
    <row r="20">
      <c r="A20" s="13" t="inlineStr">
        <is>
          <t>2027-03-29</t>
        </is>
      </c>
      <c r="B20" s="13" t="inlineStr">
        <is>
          <t>Family Day</t>
        </is>
      </c>
      <c r="C20" s="13" t="inlineStr"/>
      <c r="D20" s="13" t="inlineStr">
        <is>
          <t>Public Holidays Act 36 of 1994, Schedule 1</t>
        </is>
      </c>
      <c r="E20" s="12" t="inlineStr"/>
      <c r="F20" s="12" t="inlineStr"/>
      <c r="G20" s="12" t="inlineStr"/>
    </row>
    <row r="21">
      <c r="A21" s="13" t="inlineStr">
        <is>
          <t>2027-04-27</t>
        </is>
      </c>
      <c r="B21" s="13" t="inlineStr">
        <is>
          <t>Freedom Day</t>
        </is>
      </c>
      <c r="C21" s="13" t="inlineStr"/>
      <c r="D21" s="13" t="inlineStr">
        <is>
          <t>Public Holidays Act 36 of 1994, Schedule 1</t>
        </is>
      </c>
      <c r="E21" s="12" t="inlineStr"/>
      <c r="F21" s="12" t="inlineStr"/>
      <c r="G21" s="12" t="inlineStr"/>
    </row>
    <row r="22">
      <c r="A22" s="13" t="inlineStr">
        <is>
          <t>2027-05-01</t>
        </is>
      </c>
      <c r="B22" s="13" t="inlineStr">
        <is>
          <t>Workers' Day</t>
        </is>
      </c>
      <c r="C22" s="13" t="inlineStr"/>
      <c r="D22" s="13" t="inlineStr">
        <is>
          <t>Public Holidays Act 36 of 1994, Schedule 1</t>
        </is>
      </c>
      <c r="E22" s="12" t="inlineStr"/>
      <c r="F22" s="12" t="inlineStr"/>
      <c r="G22" s="12" t="inlineStr"/>
    </row>
    <row r="23">
      <c r="A23" s="13" t="inlineStr">
        <is>
          <t>2027-06-16</t>
        </is>
      </c>
      <c r="B23" s="13" t="inlineStr">
        <is>
          <t>Youth Day</t>
        </is>
      </c>
      <c r="C23" s="13" t="inlineStr"/>
      <c r="D23" s="13" t="inlineStr">
        <is>
          <t>Public Holidays Act 36 of 1994, Schedule 1</t>
        </is>
      </c>
      <c r="E23" s="12" t="inlineStr"/>
      <c r="F23" s="12" t="inlineStr"/>
      <c r="G23" s="12" t="inlineStr"/>
    </row>
    <row r="24">
      <c r="A24" s="13" t="inlineStr">
        <is>
          <t>2027-08-09</t>
        </is>
      </c>
      <c r="B24" s="13" t="inlineStr">
        <is>
          <t>National Women's Day</t>
        </is>
      </c>
      <c r="C24" s="13" t="inlineStr"/>
      <c r="D24" s="13" t="inlineStr">
        <is>
          <t>Public Holidays Act 36 of 1994, Schedule 1</t>
        </is>
      </c>
      <c r="E24" s="12" t="inlineStr"/>
      <c r="F24" s="12" t="inlineStr"/>
      <c r="G24" s="12" t="inlineStr"/>
    </row>
    <row r="25">
      <c r="A25" s="13" t="inlineStr">
        <is>
          <t>2027-09-24</t>
        </is>
      </c>
      <c r="B25" s="13" t="inlineStr">
        <is>
          <t>Heritage Day</t>
        </is>
      </c>
      <c r="C25" s="13" t="inlineStr"/>
      <c r="D25" s="13" t="inlineStr">
        <is>
          <t>Public Holidays Act 36 of 1994, Schedule 1</t>
        </is>
      </c>
      <c r="E25" s="12" t="inlineStr"/>
      <c r="F25" s="12" t="inlineStr"/>
      <c r="G25" s="12" t="inlineStr"/>
    </row>
    <row r="26">
      <c r="A26" s="13" t="inlineStr">
        <is>
          <t>2027-12-16</t>
        </is>
      </c>
      <c r="B26" s="13" t="inlineStr">
        <is>
          <t>Day of Reconciliation</t>
        </is>
      </c>
      <c r="C26" s="13" t="inlineStr"/>
      <c r="D26" s="13" t="inlineStr">
        <is>
          <t>Public Holidays Act 36 of 1994, Schedule 1</t>
        </is>
      </c>
      <c r="E26" s="12" t="inlineStr"/>
      <c r="F26" s="12" t="inlineStr"/>
      <c r="G26" s="12" t="inlineStr"/>
    </row>
    <row r="27">
      <c r="A27" s="13" t="inlineStr">
        <is>
          <t>2027-12-25</t>
        </is>
      </c>
      <c r="B27" s="13" t="inlineStr">
        <is>
          <t>Christmas Day</t>
        </is>
      </c>
      <c r="C27" s="13" t="inlineStr"/>
      <c r="D27" s="13" t="inlineStr">
        <is>
          <t>Public Holidays Act 36 of 1994, Schedule 1</t>
        </is>
      </c>
      <c r="E27" s="12" t="inlineStr"/>
      <c r="F27" s="12" t="inlineStr"/>
      <c r="G27" s="12" t="inlineStr"/>
    </row>
    <row r="28">
      <c r="A28" s="13" t="inlineStr">
        <is>
          <t>2027-12-27</t>
        </is>
      </c>
      <c r="B28" s="13" t="inlineStr">
        <is>
          <t>Day of Goodwill</t>
        </is>
      </c>
      <c r="C28" s="13" t="inlineStr">
        <is>
          <t>shifted from 2027-12-26</t>
        </is>
      </c>
      <c r="D28" s="13" t="inlineStr">
        <is>
          <t>Public Holidays Act 36 of 1994, s2(1)</t>
        </is>
      </c>
      <c r="E28" s="12" t="inlineStr"/>
      <c r="F28" s="12" t="inlineStr"/>
      <c r="G28" s="12" t="inlineStr"/>
    </row>
  </sheetData>
  <conditionalFormatting sqref="E5:E28">
    <cfRule type="cellIs" priority="1" operator="equal" dxfId="0">
      <formula>"Y"</formula>
    </cfRule>
    <cfRule type="cellIs" priority="2" operator="equal" dxfId="1">
      <formula>"N"</formula>
    </cfRule>
    <cfRule type="cellIs" priority="3" operator="equal" dxfId="2">
      <formula>"Query"</formula>
    </cfRule>
  </conditionalFormatting>
  <dataValidations count="1">
    <dataValidation sqref="E5:E28" showDropDown="0" showInputMessage="1" showErrorMessage="1" allowBlank="1" errorTitle="One of three answers" error="Y if the loaded figure matches the source, N if it does not, Query if you could not find the document." promptTitle="Does the loaded value agree?" prompt="Y, N or Query." type="list">
      <formula1>"Y,N,Query"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40" customWidth="1" min="1" max="1"/>
    <col width="22" customWidth="1" min="2" max="2"/>
    <col width="60" customWidth="1" min="3" max="3"/>
    <col width="12" customWidth="1" min="4" max="4"/>
    <col width="18" customWidth="1" min="5" max="5"/>
    <col width="26" customWidth="1" min="6" max="6"/>
  </cols>
  <sheetData>
    <row r="1">
      <c r="A1" s="7" t="inlineStr">
        <is>
          <t>Banks and universal branch codes</t>
        </is>
      </c>
    </row>
    <row r="2">
      <c r="A2" s="8" t="inlineStr">
        <is>
          <t>No account number lengths are loaded — NULL means nobody has confirmed that bank's rule, and a guessed bound leaves somebody unpaid.</t>
        </is>
      </c>
    </row>
    <row r="4">
      <c r="A4" s="9" t="inlineStr">
        <is>
          <t>Bank</t>
        </is>
      </c>
      <c r="B4" s="9" t="inlineStr">
        <is>
          <t>Universal branch code</t>
        </is>
      </c>
      <c r="C4" s="9" t="inlineStr">
        <is>
          <t>Note</t>
        </is>
      </c>
      <c r="D4" s="9" t="inlineStr">
        <is>
          <t>Agrees?</t>
        </is>
      </c>
      <c r="E4" s="9" t="inlineStr">
        <is>
          <t>Correct value</t>
        </is>
      </c>
      <c r="F4" s="9" t="inlineStr">
        <is>
          <t>Where you checked</t>
        </is>
      </c>
    </row>
    <row r="5">
      <c r="A5" s="13" t="inlineStr">
        <is>
          <t>Absa Bank Limited</t>
        </is>
      </c>
      <c r="B5" s="13" t="inlineStr">
        <is>
          <t>632005</t>
        </is>
      </c>
      <c r="C5"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5" s="17" t="inlineStr"/>
      <c r="E5" s="12" t="inlineStr"/>
      <c r="F5" s="12" t="inlineStr"/>
    </row>
    <row r="6">
      <c r="A6" s="10" t="inlineStr">
        <is>
          <t>Access Bank (South Africa) Limited</t>
        </is>
      </c>
      <c r="B6" s="10" t="inlineStr">
        <is>
          <t>410105</t>
        </is>
      </c>
      <c r="C6" s="10" t="inlineStr">
        <is>
          <t>Single source - VERIFY. Universal branch codes as published by the banks, cross-checked 13 September 2026. Account number length not loaded: NULL means nobody has confirmed this bank's rule. Validation falls back to the general nine-to-eleven digit range.</t>
        </is>
      </c>
      <c r="D6" s="17" t="inlineStr">
        <is>
          <t>Y</t>
        </is>
      </c>
      <c r="E6" s="12" t="n"/>
      <c r="F6" s="12" t="n"/>
    </row>
    <row r="7">
      <c r="A7" s="13" t="inlineStr">
        <is>
          <t>African Bank Limited</t>
        </is>
      </c>
      <c r="B7" s="13" t="inlineStr">
        <is>
          <t>430000</t>
        </is>
      </c>
      <c r="C7"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7" s="17" t="inlineStr"/>
      <c r="E7" s="12" t="inlineStr"/>
      <c r="F7" s="12" t="inlineStr"/>
    </row>
    <row r="8">
      <c r="A8" s="10" t="inlineStr">
        <is>
          <t>Albaraka Bank Limited</t>
        </is>
      </c>
      <c r="B8" s="10" t="inlineStr">
        <is>
          <t>800000</t>
        </is>
      </c>
      <c r="C8" s="10" t="inlineStr">
        <is>
          <t>Single source - VERIFY. Universal branch codes as published by the banks, cross-checked 13 September 2026. Account number length not loaded: NULL means nobody has confirmed this bank's rule. Validation falls back to the general nine-to-eleven digit range.</t>
        </is>
      </c>
      <c r="D8" s="17" t="inlineStr">
        <is>
          <t>Y</t>
        </is>
      </c>
      <c r="E8" s="12" t="n"/>
      <c r="F8" s="12" t="n"/>
    </row>
    <row r="9">
      <c r="A9" s="13" t="inlineStr">
        <is>
          <t>Bank Zero Mutual Bank</t>
        </is>
      </c>
      <c r="B9" s="13" t="inlineStr">
        <is>
          <t>888000</t>
        </is>
      </c>
      <c r="C9"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9" s="17" t="inlineStr"/>
      <c r="E9" s="12" t="inlineStr"/>
      <c r="F9" s="12" t="inlineStr"/>
    </row>
    <row r="10">
      <c r="A10" s="13" t="inlineStr">
        <is>
          <t>Bank of China</t>
        </is>
      </c>
      <c r="B10" s="13" t="inlineStr">
        <is>
          <t>686000</t>
        </is>
      </c>
      <c r="C10"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10" s="17" t="inlineStr"/>
      <c r="E10" s="12" t="inlineStr"/>
      <c r="F10" s="12" t="inlineStr"/>
    </row>
    <row r="11">
      <c r="A11" s="13" t="inlineStr">
        <is>
          <t>Bidvest Bank Limited</t>
        </is>
      </c>
      <c r="B11" s="13" t="inlineStr">
        <is>
          <t>462005</t>
        </is>
      </c>
      <c r="C11"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11" s="17" t="inlineStr"/>
      <c r="E11" s="12" t="inlineStr"/>
      <c r="F11" s="12" t="inlineStr"/>
    </row>
    <row r="12">
      <c r="A12" s="13" t="inlineStr">
        <is>
          <t>Capitec Bank Limited</t>
        </is>
      </c>
      <c r="B12" s="13" t="inlineStr">
        <is>
          <t>470010</t>
        </is>
      </c>
      <c r="C12"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12" s="17" t="inlineStr"/>
      <c r="E12" s="12" t="inlineStr"/>
      <c r="F12" s="12" t="inlineStr"/>
    </row>
    <row r="13">
      <c r="A13" s="10" t="inlineStr">
        <is>
          <t>Capitec Business</t>
        </is>
      </c>
      <c r="B13" s="10" t="inlineStr">
        <is>
          <t>450105</t>
        </is>
      </c>
      <c r="C13" s="10" t="inlineStr">
        <is>
          <t>Formerly Mercantile Bank. Single source - VERIFY. Universal branch codes as published by the banks, cross-checked 13 September 2026. Account number length not loaded: NULL means nobody has confirmed this bank's rule. Validation falls back to the general nine-to-eleven digit range.</t>
        </is>
      </c>
      <c r="D13" s="17" t="inlineStr">
        <is>
          <t>Y</t>
        </is>
      </c>
      <c r="E13" s="12" t="n"/>
      <c r="F13" s="12" t="n"/>
    </row>
    <row r="14">
      <c r="A14" s="13" t="inlineStr">
        <is>
          <t>China Construction Bank</t>
        </is>
      </c>
      <c r="B14" s="13" t="inlineStr">
        <is>
          <t>586666</t>
        </is>
      </c>
      <c r="C14"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14" s="17" t="inlineStr"/>
      <c r="E14" s="12" t="inlineStr"/>
      <c r="F14" s="12" t="inlineStr"/>
    </row>
    <row r="15">
      <c r="A15" s="13" t="inlineStr">
        <is>
          <t>Discovery Bank Limited</t>
        </is>
      </c>
      <c r="B15" s="13" t="inlineStr">
        <is>
          <t>679000</t>
        </is>
      </c>
      <c r="C15"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15" s="17" t="inlineStr"/>
      <c r="E15" s="12" t="inlineStr"/>
      <c r="F15" s="12" t="inlineStr"/>
    </row>
    <row r="16">
      <c r="A16" s="10" t="inlineStr">
        <is>
          <t>Finbond Mutual Bank</t>
        </is>
      </c>
      <c r="B16" s="10" t="inlineStr">
        <is>
          <t>589000</t>
        </is>
      </c>
      <c r="C16" s="10" t="inlineStr">
        <is>
          <t>Single source - VERIFY. Universal branch codes as published by the banks, cross-checked 13 September 2026. Account number length not loaded: NULL means nobody has confirmed this bank's rule. Validation falls back to the general nine-to-eleven digit range.</t>
        </is>
      </c>
      <c r="D16" s="17" t="inlineStr">
        <is>
          <t>Y</t>
        </is>
      </c>
      <c r="E16" s="12" t="n"/>
      <c r="F16" s="12" t="n"/>
    </row>
    <row r="17">
      <c r="A17" s="13" t="inlineStr">
        <is>
          <t>FirstRand Bank Limited (FNB)</t>
        </is>
      </c>
      <c r="B17" s="13" t="inlineStr">
        <is>
          <t>250655</t>
        </is>
      </c>
      <c r="C17" s="13" t="inlineStr">
        <is>
          <t>Cross-checked against two independent published lists. FNB is a division of FirstRand Bank; employees will say 'FNB'. Universal branch codes as published by the banks, cross-checked 13 September 2026. Account number length not loaded: NULL means nobody has confirmed this bank's rule. Validation falls back to the general nine-to-eleven digit range.</t>
        </is>
      </c>
      <c r="D17" s="17" t="inlineStr"/>
      <c r="E17" s="12" t="inlineStr"/>
      <c r="F17" s="12" t="inlineStr"/>
    </row>
    <row r="18">
      <c r="A18" s="13" t="inlineStr">
        <is>
          <t>GoTyme Bank Limited</t>
        </is>
      </c>
      <c r="B18" s="13" t="inlineStr">
        <is>
          <t>678910</t>
        </is>
      </c>
      <c r="C18" s="13" t="inlineStr">
        <is>
          <t>Rebranded from TymeBank in January 2026. Code unchanged. Universal branch codes as published by the banks, cross-checked 13 September 2026. Account number length not loaded: NULL means nobody has confirmed this bank's rule. Validation falls back to the general nine-to-eleven digit range.</t>
        </is>
      </c>
      <c r="D18" s="17" t="inlineStr"/>
      <c r="E18" s="12" t="inlineStr"/>
      <c r="F18" s="12" t="inlineStr"/>
    </row>
    <row r="19">
      <c r="A19" s="10" t="inlineStr">
        <is>
          <t>Grindrod Bank Limited</t>
        </is>
      </c>
      <c r="B19" s="10" t="inlineStr">
        <is>
          <t>584000</t>
        </is>
      </c>
      <c r="C19" s="10" t="inlineStr">
        <is>
          <t>Single source - VERIFY. Universal branch codes as published by the banks, cross-checked 13 September 2026. Account number length not loaded: NULL means nobody has confirmed this bank's rule. Validation falls back to the general nine-to-eleven digit range.</t>
        </is>
      </c>
      <c r="D19" s="17" t="inlineStr">
        <is>
          <t>Y</t>
        </is>
      </c>
      <c r="E19" s="12" t="n"/>
      <c r="F19" s="12" t="n"/>
    </row>
    <row r="20">
      <c r="A20" s="13" t="inlineStr">
        <is>
          <t>HSBC Bank</t>
        </is>
      </c>
      <c r="B20" s="13" t="inlineStr">
        <is>
          <t>587000</t>
        </is>
      </c>
      <c r="C20"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20" s="17" t="inlineStr"/>
      <c r="E20" s="12" t="inlineStr"/>
      <c r="F20" s="12" t="inlineStr"/>
    </row>
    <row r="21">
      <c r="A21" s="13" t="inlineStr">
        <is>
          <t>ICICI Bank Limited</t>
        </is>
      </c>
      <c r="B21" s="13" t="inlineStr">
        <is>
          <t>362000</t>
        </is>
      </c>
      <c r="C21"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21" s="17" t="inlineStr"/>
      <c r="E21" s="12" t="inlineStr"/>
      <c r="F21" s="12" t="inlineStr"/>
    </row>
    <row r="22">
      <c r="A22" s="13" t="inlineStr">
        <is>
          <t>Investec Bank Limited</t>
        </is>
      </c>
      <c r="B22" s="13" t="inlineStr">
        <is>
          <t>580105</t>
        </is>
      </c>
      <c r="C22"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22" s="17" t="inlineStr"/>
      <c r="E22" s="12" t="inlineStr"/>
      <c r="F22" s="12" t="inlineStr"/>
    </row>
    <row r="23">
      <c r="A23" s="13" t="inlineStr">
        <is>
          <t>JP Morgan Chase Bank N.A.</t>
        </is>
      </c>
      <c r="B23" s="13" t="inlineStr">
        <is>
          <t>432000</t>
        </is>
      </c>
      <c r="C23"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23" s="17" t="inlineStr"/>
      <c r="E23" s="12" t="inlineStr"/>
      <c r="F23" s="12" t="inlineStr"/>
    </row>
    <row r="24">
      <c r="A24" s="13" t="inlineStr">
        <is>
          <t>Nedbank Limited</t>
        </is>
      </c>
      <c r="B24" s="13" t="inlineStr">
        <is>
          <t>198765</t>
        </is>
      </c>
      <c r="C24"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24" s="17" t="inlineStr"/>
      <c r="E24" s="12" t="inlineStr"/>
      <c r="F24" s="12" t="inlineStr"/>
    </row>
    <row r="25">
      <c r="A25" s="10" t="inlineStr">
        <is>
          <t>Sasfin Bank Limited</t>
        </is>
      </c>
      <c r="B25" s="10" t="inlineStr">
        <is>
          <t>683000</t>
        </is>
      </c>
      <c r="C25" s="10" t="inlineStr">
        <is>
          <t>Single source - VERIFY. Universal branch codes as published by the banks, cross-checked 13 September 2026. Account number length not loaded: NULL means nobody has confirmed this bank's rule. Validation falls back to the general nine-to-eleven digit range.</t>
        </is>
      </c>
      <c r="D25" s="17" t="inlineStr">
        <is>
          <t>Y</t>
        </is>
      </c>
      <c r="E25" s="12" t="n"/>
      <c r="F25" s="12" t="n"/>
    </row>
    <row r="26">
      <c r="A26" s="13" t="inlineStr">
        <is>
          <t>Societe Generale</t>
        </is>
      </c>
      <c r="B26" s="13" t="inlineStr">
        <is>
          <t>351005</t>
        </is>
      </c>
      <c r="C26"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26" s="17" t="inlineStr"/>
      <c r="E26" s="12" t="inlineStr"/>
      <c r="F26" s="12" t="inlineStr"/>
    </row>
    <row r="27">
      <c r="A27" s="10" t="inlineStr">
        <is>
          <t>South African Postbank</t>
        </is>
      </c>
      <c r="B27" s="10" t="inlineStr">
        <is>
          <t>460005</t>
        </is>
      </c>
      <c r="C27" s="10" t="inlineStr">
        <is>
          <t>Single source - VERIFY. Universal branch codes as published by the banks, cross-checked 13 September 2026. Account number length not loaded: NULL means nobody has confirmed this bank's rule. Validation falls back to the general nine-to-eleven digit range.</t>
        </is>
      </c>
      <c r="D27" s="17" t="inlineStr">
        <is>
          <t>Y</t>
        </is>
      </c>
      <c r="E27" s="12" t="n"/>
      <c r="F27" s="12" t="n"/>
    </row>
    <row r="28">
      <c r="A28" s="13" t="inlineStr">
        <is>
          <t>Standard Bank of South Africa</t>
        </is>
      </c>
      <c r="B28" s="13" t="inlineStr">
        <is>
          <t>051001</t>
        </is>
      </c>
      <c r="C28" s="13" t="inlineStr">
        <is>
          <t>Cross-checked against two independent published lists. Universal branch codes as published by the banks, cross-checked 13 September 2026. Account number length not loaded: NULL means nobody has confirmed this bank's rule. Validation falls back to the general nine-to-eleven digit range.</t>
        </is>
      </c>
      <c r="D28" s="17" t="inlineStr"/>
      <c r="E28" s="12" t="inlineStr"/>
      <c r="F28" s="12" t="inlineStr"/>
    </row>
    <row r="29">
      <c r="A29" s="13" t="inlineStr">
        <is>
          <t>State Bank of India</t>
        </is>
      </c>
      <c r="B29" s="13" t="inlineStr">
        <is>
          <t>801000</t>
        </is>
      </c>
      <c r="C29" s="13" t="inlineStr">
        <is>
          <t>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is>
      </c>
      <c r="D29" s="17" t="inlineStr"/>
      <c r="E29" s="12" t="inlineStr"/>
      <c r="F29" s="12" t="inlineStr"/>
    </row>
  </sheetData>
  <conditionalFormatting sqref="D5:D29">
    <cfRule type="cellIs" priority="1" operator="equal" dxfId="0">
      <formula>"Y"</formula>
    </cfRule>
    <cfRule type="cellIs" priority="2" operator="equal" dxfId="1">
      <formula>"N"</formula>
    </cfRule>
    <cfRule type="cellIs" priority="3" operator="equal" dxfId="2">
      <formula>"Query"</formula>
    </cfRule>
  </conditionalFormatting>
  <dataValidations count="1">
    <dataValidation sqref="D5:D29" showDropDown="0" showInputMessage="1" showErrorMessage="1" allowBlank="1" errorTitle="One of three answers" error="Y if the loaded figure matches the source, N if it does not, Query if you could not find the document." promptTitle="Does the loaded value agree?" prompt="Y, N or Query." type="list">
      <formula1>"Y,N,Query"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60" customWidth="1" min="4" max="4"/>
  </cols>
  <sheetData>
    <row r="1">
      <c r="A1" s="7" t="inlineStr">
        <is>
          <t>What moves, and when to look for it</t>
        </is>
      </c>
    </row>
    <row r="2">
      <c r="A2" s="8" t="inlineStr">
        <is>
          <t>Loaded as data so a new person inherits the calendar rather than the folklore.</t>
        </is>
      </c>
    </row>
    <row r="4">
      <c r="A4" s="9" t="inlineStr">
        <is>
          <t>What</t>
        </is>
      </c>
      <c r="B4" s="9" t="inlineStr">
        <is>
          <t>Expected</t>
        </is>
      </c>
      <c r="C4" s="9" t="inlineStr">
        <is>
          <t>Where to look</t>
        </is>
      </c>
      <c r="D4" s="9" t="inlineStr">
        <is>
          <t>Note</t>
        </is>
      </c>
    </row>
    <row r="5">
      <c r="A5" s="13" t="inlineStr">
        <is>
          <t>National Minimum Wage and sectoral schedules</t>
        </is>
      </c>
      <c r="B5" s="17" t="inlineStr">
        <is>
          <t>late January to mid February</t>
        </is>
      </c>
      <c r="C5" s="17" t="inlineStr">
        <is>
          <t>Department of Employment and Labour gazette https://www.gov.za/sites/default/files/gcis_document/202602/54075rg11941gon7083.pdf</t>
        </is>
      </c>
      <c r="D5" s="17" t="inlineStr">
        <is>
          <t>The NMW Commission's recommendation is gazetted for comment and then finally, effective 1 March. Check the general rate, the EPWP rate and the contract cleaning schedule, which moves with it.</t>
        </is>
      </c>
    </row>
    <row r="6">
      <c r="A6" s="13" t="inlineStr">
        <is>
          <t>PAYE brackets, rebates, thresholds and medical credits</t>
        </is>
      </c>
      <c r="B6" s="17" t="inlineStr">
        <is>
          <t>Budget speech, late February</t>
        </is>
      </c>
      <c r="C6" s="17" t="inlineStr">
        <is>
          <t>SARS rates of tax for individuals https://www.sars.gov.za/tax-rates/income-tax/rates-of-tax-for-individuals/</t>
        </is>
      </c>
      <c r="D6" s="17" t="inlineStr">
        <is>
          <t>Announced in the Budget and effective 1 March. All four move together; a year where the brackets are unchanged still needs the medical credits checked.</t>
        </is>
      </c>
    </row>
    <row r="7">
      <c r="A7" s="13" t="inlineStr">
        <is>
          <t>BCEA earnings threshold</t>
        </is>
      </c>
      <c r="B7" s="17" t="inlineStr">
        <is>
          <t>March to April</t>
        </is>
      </c>
      <c r="C7" s="17" t="inlineStr">
        <is>
          <t>Department of Employment and Labour gazette</t>
        </is>
      </c>
      <c r="D7" s="17" t="inlineStr">
        <is>
          <t>Determined under s6(3) and usually effective 1 April or 1 May, on its own calendar rather than the tax year's.</t>
        </is>
      </c>
    </row>
    <row r="8">
      <c r="A8" s="13" t="inlineStr">
        <is>
          <t>UIF contribution ceiling</t>
        </is>
      </c>
      <c r="B8" s="17" t="inlineStr">
        <is>
          <t>no fixed window - swept quarterly</t>
        </is>
      </c>
      <c r="C8" s="17" t="inlineStr">
        <is>
          <t>Department of Employment and Labour gazette</t>
        </is>
      </c>
      <c r="D8" s="17" t="inlineStr">
        <is>
          <t>Moves on ministerial notice with NO fixed calendar - it sat unchanged from October 2012 to June 2021 and has not moved since. The parameter most often missed in South African payroll, precisely because there is no date to watch.</t>
        </is>
      </c>
    </row>
    <row r="9">
      <c r="A9" s="13" t="inlineStr">
        <is>
          <t>COIDA maximum amount of earnings</t>
        </is>
      </c>
      <c r="B9" s="17" t="inlineStr">
        <is>
          <t>February to April</t>
        </is>
      </c>
      <c r="C9" s="17" t="inlineStr">
        <is>
          <t>Compensation Fund notice</t>
        </is>
      </c>
      <c r="D9" s="17" t="inlineStr">
        <is>
          <t>Increased by the Minister for each assessment year, usually announced shortly before the Return of Earnings season opens.</t>
        </is>
      </c>
    </row>
    <row r="10">
      <c r="A10" s="13" t="inlineStr">
        <is>
          <t>Public holidays, including proclaimed once-off days</t>
        </is>
      </c>
      <c r="B10" s="17" t="inlineStr">
        <is>
          <t>any time, by proclamation</t>
        </is>
      </c>
      <c r="C10" s="17" t="inlineStr">
        <is>
          <t>Public Holidays Act and Presidential proclamations</t>
        </is>
      </c>
      <c r="D10" s="17" t="inlineStr">
        <is>
          <t>The twelve statutory days are computable, but election days and days of mourning are proclaimed with little notice and follow no rule. Load the next calendar year each December.</t>
        </is>
      </c>
    </row>
    <row r="11">
      <c r="A11" s="13" t="inlineStr">
        <is>
          <t>Contract cleaning KwaZulu-Natal collective agreement</t>
        </is>
      </c>
      <c r="B11" s="17" t="inlineStr">
        <is>
          <t>per the council's agreement cycle</t>
        </is>
      </c>
      <c r="C11" s="17" t="inlineStr">
        <is>
          <t>Bargaining Council for the Contract Cleaning Service Industry</t>
        </is>
      </c>
      <c r="D11" s="17" t="inlineStr">
        <is>
          <t>Area C has no gazetted figure. Its wages come from the BCCCI collective agreement, which is extended by the Minister and runs on its own cycle. NOT YET LOADED - the agreement is needed before any KwaZulu-Natal contract cleaning employer can be onboarded.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6" customWidth="1" min="3" max="3"/>
    <col width="14" customWidth="1" min="4" max="4"/>
    <col width="80" customWidth="1" min="5" max="5"/>
  </cols>
  <sheetData>
    <row r="1">
      <c r="A1" s="7" t="inlineStr">
        <is>
          <t>The 8 reference data versions</t>
        </is>
      </c>
    </row>
    <row r="2">
      <c r="A2" s="8" t="inlineStr">
        <is>
          <t>A version that is not verified is not in force, and every payroll run stays blocked. That is deliberate.</t>
        </is>
      </c>
    </row>
    <row r="4">
      <c r="A4" s="9" t="inlineStr">
        <is>
          <t>Version</t>
        </is>
      </c>
      <c r="B4" s="9" t="inlineStr">
        <is>
          <t>Applies from</t>
        </is>
      </c>
      <c r="C4" s="9" t="inlineStr">
        <is>
          <t>Checksum</t>
        </is>
      </c>
      <c r="D4" s="9" t="inlineStr">
        <is>
          <t>State</t>
        </is>
      </c>
      <c r="E4" s="9" t="inlineStr">
        <is>
          <t>What it holds</t>
        </is>
      </c>
    </row>
    <row r="5">
      <c r="A5" s="13" t="inlineStr">
        <is>
          <t>REF-2026.03.01</t>
        </is>
      </c>
      <c r="B5" s="13" t="inlineStr">
        <is>
          <t>2026-03-01</t>
        </is>
      </c>
      <c r="C5" s="17" t="inlineStr">
        <is>
          <t>b31999930396</t>
        </is>
      </c>
      <c r="D5" s="17" t="inlineStr">
        <is>
          <t>not verified</t>
        </is>
      </c>
      <c r="E5" s="12" t="inlineStr">
        <is>
          <t>First statutory reference load: the 1 March 2026 wage floors, the SARS 2027 tax year tables, the contribution parameters, and public holidays for 2026 and 2027. Researched from primary sources on 13 S</t>
        </is>
      </c>
    </row>
    <row r="6">
      <c r="A6" s="13" t="inlineStr">
        <is>
          <t>REF-2026.03.01-RULES</t>
        </is>
      </c>
      <c r="B6" s="13" t="inlineStr">
        <is>
          <t>2026-03-01</t>
        </is>
      </c>
      <c r="C6" s="17" t="inlineStr">
        <is>
          <t>711194f646af</t>
        </is>
      </c>
      <c r="D6" s="17" t="inlineStr">
        <is>
          <t>not verified</t>
        </is>
      </c>
      <c r="E6" s="12" t="inlineStr">
        <is>
          <t>Sector rule sets: the BCEA default and the domestic sector's Sectoral Determination 7 overrides, for leave, working time and termination. Contract cleaning is deliberately absent - SD1 has not been re</t>
        </is>
      </c>
    </row>
    <row r="7">
      <c r="A7" s="13" t="inlineStr">
        <is>
          <t>REF-2026.03.01-SD1</t>
        </is>
      </c>
      <c r="B7" s="13" t="inlineStr">
        <is>
          <t>2026-03-01</t>
        </is>
      </c>
      <c r="C7" s="17" t="inlineStr">
        <is>
          <t>23ca1a161883</t>
        </is>
      </c>
      <c r="D7" s="17" t="inlineStr">
        <is>
          <t>not verified</t>
        </is>
      </c>
      <c r="E7" s="12" t="inlineStr">
        <is>
          <t>Contract cleaning sector rule sets from Sectoral Determination 1, clauses 3 and 8 to 24. Researched 13 September 2026 from two independent transcriptions of the consolidated determination. NOT verifie</t>
        </is>
      </c>
    </row>
    <row r="8">
      <c r="A8" s="13" t="inlineStr">
        <is>
          <t>REF-2026.03.01-CODES</t>
        </is>
      </c>
      <c r="B8" s="13" t="inlineStr">
        <is>
          <t>2026-03-01</t>
        </is>
      </c>
      <c r="C8" s="17" t="inlineStr">
        <is>
          <t>d4f7dceebff9</t>
        </is>
      </c>
      <c r="D8" s="17" t="inlineStr">
        <is>
          <t>not verified</t>
        </is>
      </c>
      <c r="E8" s="12" t="inlineStr">
        <is>
          <t>SARS source codes used by the domestic and contract cleaning sectors, with the PAYE, UIF, SDL and COIDA base flags and the reasoning behind each. Researched 13 September 2026. NOT verified.</t>
        </is>
      </c>
    </row>
    <row r="9">
      <c r="A9" s="13" t="inlineStr">
        <is>
          <t>REF-2026.03.01-BANKS</t>
        </is>
      </c>
      <c r="B9" s="13" t="inlineStr">
        <is>
          <t>2026-03-01</t>
        </is>
      </c>
      <c r="C9" s="17" t="inlineStr">
        <is>
          <t>90132aaf18b6</t>
        </is>
      </c>
      <c r="D9" s="17" t="inlineStr">
        <is>
          <t>not verified</t>
        </is>
      </c>
      <c r="E9" s="12" t="inlineStr">
        <is>
          <t>South African banks and their universal branch codes, for payslip display and EFT file validation. Account number lengths deliberately not loaded. Compiled 13 September 2026. NOT verified.</t>
        </is>
      </c>
    </row>
    <row r="10">
      <c r="A10" s="13" t="inlineStr">
        <is>
          <t>REF-2026.03.01-EMPLOYMENT</t>
        </is>
      </c>
      <c r="B10" s="13" t="inlineStr">
        <is>
          <t>2026-03-01</t>
        </is>
      </c>
      <c r="C10" s="17" t="inlineStr">
        <is>
          <t>b4c886e22916</t>
        </is>
      </c>
      <c r="D10" s="17" t="inlineStr">
        <is>
          <t>not verified</t>
        </is>
      </c>
      <c r="E10" s="12" t="inlineStr">
        <is>
          <t>Employment eligibility thresholds. Researched 13 September 2026 from the Basic Conditions of Employment Act. NOT verified.</t>
        </is>
      </c>
    </row>
    <row r="11">
      <c r="A11" s="13" t="inlineStr">
        <is>
          <t>REF-2026.03.01-REMUNERATION</t>
        </is>
      </c>
      <c r="B11" s="13" t="inlineStr">
        <is>
          <t>2026-03-01</t>
        </is>
      </c>
      <c r="C11" s="17" t="inlineStr">
        <is>
          <t>eec991e9abc8</t>
        </is>
      </c>
      <c r="D11" s="17" t="inlineStr">
        <is>
          <t>not verified</t>
        </is>
      </c>
      <c r="E11" s="12" t="inlineStr">
        <is>
          <t>Rate derivation constants from the Basic Conditions of Employment Act. Researched 13 September 2026. NOT verified.</t>
        </is>
      </c>
    </row>
    <row r="12">
      <c r="A12" s="13" t="inlineStr">
        <is>
          <t>REF-2026.03.01-LUMPSUM</t>
        </is>
      </c>
      <c r="B12" s="13" t="inlineStr">
        <is>
          <t>2026-03-01</t>
        </is>
      </c>
      <c r="C12" s="17" t="inlineStr">
        <is>
          <t>4a348c5d19be</t>
        </is>
      </c>
      <c r="D12" s="17" t="inlineStr">
        <is>
          <t>not verified</t>
        </is>
      </c>
      <c r="E12" s="12" t="inlineStr">
        <is>
          <t>Termination lump sum source codes 3901 and 3907, from SARS's 2026 code guide. Researched 13 September 2026. NOT verified.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2026-09-13T17:12:58Z</dcterms:created>
  <dcterms:modified xsi:type="dcterms:W3CDTF">2026-09-13T17:12:58Z</dcterms:modified>
</cp:coreProperties>
</file>