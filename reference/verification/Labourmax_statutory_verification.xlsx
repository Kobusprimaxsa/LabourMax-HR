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this" sheetId="1" state="visible" r:id="rId3"/>
    <sheet name="Priority" sheetId="2" state="visible" r:id="rId4"/>
    <sheet name="Rates and parameters" sheetId="3" state="visible" r:id="rId5"/>
    <sheet name="Rule sets" sheetId="4" state="visible" r:id="rId6"/>
    <sheet name="SARS source codes" sheetId="5" state="visible" r:id="rId7"/>
    <sheet name="Public holidays" sheetId="6" state="visible" r:id="rId8"/>
    <sheet name="Banks" sheetId="7" state="visible" r:id="rId9"/>
    <sheet name="Watch calendar" sheetId="8" state="visible" r:id="rId10"/>
    <sheet name="Versions loaded"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<sst xmlns="http://schemas.openxmlformats.org/spreadsheetml/2006/main" count="1724" uniqueCount="494">
  <si>
    <t xml:space="preserve">Labourmax-HR — statutory data verification</t>
  </si>
  <si>
    <t xml:space="preserve">Progress</t>
  </si>
  <si>
    <t xml:space="preserve">Generated 13 September 2026 from the loaded reference data. Regenerate with: python tools/build_verification_workbook.py</t>
  </si>
  <si>
    <t xml:space="preserve">Priority</t>
  </si>
  <si>
    <t xml:space="preserve">Rates and parameters</t>
  </si>
  <si>
    <t xml:space="preserve">Every figure the system will use is listed here with the source it was taken from. Nothing is verified until you say so, and nothing unverified is in force — every payroll run is blocked until it is. That is deliberate.</t>
  </si>
  <si>
    <t xml:space="preserve">Rule sets</t>
  </si>
  <si>
    <t xml:space="preserve">SARS source codes</t>
  </si>
  <si>
    <t xml:space="preserve">HOW TO WORK THROUGH IT</t>
  </si>
  <si>
    <t xml:space="preserve">Public holidays</t>
  </si>
  <si>
    <t xml:space="preserve">Banks</t>
  </si>
  <si>
    <t xml:space="preserve">1. Start on the Priority sheet. Those rows rest on secondary or single sources, or on a gazette nobody could pin down. They are the ones most likely to be wrong.</t>
  </si>
  <si>
    <t xml:space="preserve">2. For each row, open the cited document and compare. The Source link column carries the URL where there is one.</t>
  </si>
  <si>
    <t xml:space="preserve">3. Fill in the three shaded columns. 'Agrees?' is a dropdown with three options and will not accept anything else:</t>
  </si>
  <si>
    <t xml:space="preserve">       Y       the loaded value matches the source document</t>
  </si>
  <si>
    <t xml:space="preserve">       N       it does not — put the right figure in 'Correct value'</t>
  </si>
  <si>
    <t xml:space="preserve">       Query   you could not find or could not read the document</t>
  </si>
  <si>
    <t xml:space="preserve">   Y turns the cell green, N red, Query amber, so a part-finished sheet can be read at a glance for the rows worth returning to.</t>
  </si>
  <si>
    <t xml:space="preserve">   'Query' exists because that is the honest third answer, and a person with no way to say it writes Y. A figure nobody could check is not a figure that agrees.</t>
  </si>
  <si>
    <t xml:space="preserve">   Example of a filled row:</t>
  </si>
  <si>
    <t xml:space="preserve">       Agrees?  N   |   Correct value  R672,000   |   Where you checked  GN 4711, GG 51234, 30 May 2026, p.4</t>
  </si>
  <si>
    <t xml:space="preserve">4. A disagreement is the valuable outcome, not a failure. Tell Claude and the fixture gets a corrected row with a new citation — the loader refuses to edit a loaded value in place, which is the whole point of it.</t>
  </si>
  <si>
    <t xml:space="preserve">WHEN YOU ARE DONE</t>
  </si>
  <si>
    <t xml:space="preserve">Run, once per version, naming yourself:</t>
  </si>
  <si>
    <t xml:space="preserve">    python manage.py verifystatutory REF-2026.03.01 --verified-by you@example.com --current-through 2027-02-28 --allow-self-verification</t>
  </si>
  <si>
    <t xml:space="preserve">The --allow-self-verification flag exists because verification is meant to be a second pair of eyes and you are a one-person team. It records that fact on the version rather than pretending otherwise. The real second pass is the labour law reviewer (open decision O-06).</t>
  </si>
  <si>
    <t xml:space="preserve">--golden-tests-passed is deliberately NOT included above. The golden tests reproduce published SARS worked examples and do not exist yet, so a version verified today is verified-but-not-usable until they do. That is the system refusing to take your word for the arithmetic, which is correct.</t>
  </si>
  <si>
    <t xml:space="preserve">Priority — check these first</t>
  </si>
  <si>
    <t xml:space="preserve">Every row whose own note says VERIFY. Secondary sources, single sources, and figures whose gazette could not be pinned down. Start here.</t>
  </si>
  <si>
    <t xml:space="preserve">Table</t>
  </si>
  <si>
    <t xml:space="preserve">Scope</t>
  </si>
  <si>
    <t xml:space="preserve">Field</t>
  </si>
  <si>
    <t xml:space="preserve">Loaded value</t>
  </si>
  <si>
    <t xml:space="preserve">Cited to</t>
  </si>
  <si>
    <t xml:space="preserve">Why it is here</t>
  </si>
  <si>
    <t xml:space="preserve">Agrees?</t>
  </si>
  <si>
    <t xml:space="preserve">Correct value</t>
  </si>
  <si>
    <t xml:space="preserve">Where you checked</t>
  </si>
  <si>
    <t xml:space="preserve">statutory_parameter</t>
  </si>
  <si>
    <t xml:space="preserve">COIDA_ANNUAL_CEILING</t>
  </si>
  <si>
    <t xml:space="preserve">from 2026-03-01</t>
  </si>
  <si>
    <t xml:space="preserve">668000.000000 ZAR</t>
  </si>
  <si>
    <t xml:space="preserve">Compensation Fund maximum amount of earnings, 2026/2027 assessment year (1 March 2026 - 28 February 2027)</t>
  </si>
  <si>
    <t xml:space="preserve">VERIFY AGAINST THE GAZETTE - this figure comes from a payroll vendor's published table, not from the notice itself. It is the least well sourced number in this load.</t>
  </si>
  <si>
    <t xml:space="preserve">Y</t>
  </si>
  <si>
    <t xml:space="preserve">UIF_MONTHLY_CEILING</t>
  </si>
  <si>
    <t xml:space="preserve">from 2021-06-01</t>
  </si>
  <si>
    <t xml:space="preserve">17712.000000 ZAR</t>
  </si>
  <si>
    <t xml:space="preserve">Determination under s6(3) of the Unemployment Insurance Contributions Act 4 of 2002, published 28 May 2021, effective 1 June 2021</t>
  </si>
  <si>
    <t xml:space="preserve">VERIFY THE GAZETTE NUMBER - not confirmed from a primary source. Unchanged since 1 June 2021, which is the point: this ceiling moves on ministerial notice with no fixed calendar and is the parameter most often missed.</t>
  </si>
  <si>
    <t xml:space="preserve">working_time_rule_set</t>
  </si>
  <si>
    <t xml:space="preserve">DOMESTIC</t>
  </si>
  <si>
    <t xml:space="preserve">see the note — it names the field</t>
  </si>
  <si>
    <t xml:space="preserve">Sectoral Determination 7: Domestic Worker Sector, published in Regulation Gazette No. 7434 (consolidated text)</t>
  </si>
  <si>
    <t xml:space="preserve">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</si>
  <si>
    <t xml:space="preserve">Query</t>
  </si>
  <si>
    <t xml:space="preserve">3606</t>
  </si>
  <si>
    <t xml:space="preserve">Commission (Subject to PAYE)</t>
  </si>
  <si>
    <t xml:space="preserve">income</t>
  </si>
  <si>
    <t xml:space="preserve">PAYE True / UIF False / SDL True / COIDA True</t>
  </si>
  <si>
    <t xml:space="preserve">SARS Guide for Codes Applicable to Employees Tax Certificates (PAYE-AE-06-G06), 2026 issue</t>
  </si>
  <si>
    <t xml:space="preserve">THE ROW THIS TABLE EXISTS FOR. Commission is taxable, is inside the SDL leviable amount, and is OUTSIDE the UIF contribution base. A single is_taxable flag would get that wrong silently, and the error surfaces at a UI-19 reconciliation months later. UIF base: Unemployment Insurance Contributions Act 4 of 2002, s6 read with the s1 definition of remuneration. The exclusion is confirmed by the Payroll Authors Group of South Africa; VERIFY the exact paragraph of the s1 definition against the Act before this version is signed off.</t>
  </si>
  <si>
    <t xml:space="preserve">3607</t>
  </si>
  <si>
    <t xml:space="preserve">Overtime (Subject to PAYE)</t>
  </si>
  <si>
    <t xml:space="preserve">PAYE True / UIF True / SDL True / COIDA True</t>
  </si>
  <si>
    <t xml:space="preserve">VERIFY THE COIDA FLAG. Overtime is plainly taxable and plainly in the UIF and SDL bases. COIDA's definition of earnings treats overtime differently depending on whether it is regular or casual, and this row takes the inclusive reading, which over-declares rather than under-declares on the Return of Earnings. A wrong answer here costs an assessment, not a payslip. One for the labour law review (O-06). COIDA base: Compensation for Occupational Injuries and Diseases Act 130 of 1993, s1 definition of earnings.</t>
  </si>
  <si>
    <t xml:space="preserve">4001</t>
  </si>
  <si>
    <t xml:space="preserve">Current pension fund contributions</t>
  </si>
  <si>
    <t xml:space="preserve">deduction</t>
  </si>
  <si>
    <t xml:space="preserve">PAYE False / UIF False / SDL False / COIDA False</t>
  </si>
  <si>
    <t xml:space="preserve">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</si>
  <si>
    <t xml:space="preserve">4003</t>
  </si>
  <si>
    <t xml:space="preserve">Current and arrear provident fund contributions</t>
  </si>
  <si>
    <t xml:space="preserve">The contract cleaning sector has a national provident fund under SD1 clause 32, so this code carries real traffic there. Its contribution rates are not loaded - they are not in this table's scope and were not researched. 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</si>
  <si>
    <t xml:space="preserve">4005</t>
  </si>
  <si>
    <t xml:space="preserve">Medical scheme contributions (employee)</t>
  </si>
  <si>
    <t xml:space="preserve">4102</t>
  </si>
  <si>
    <t xml:space="preserve">PAYE</t>
  </si>
  <si>
    <t xml:space="preserve">4116</t>
  </si>
  <si>
    <t xml:space="preserve">Medical scheme fees tax credit</t>
  </si>
  <si>
    <t xml:space="preserve">Offsets PAYE rather than reducing income, which is why it is a credit and not a deduction from remuneration. 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</si>
  <si>
    <t xml:space="preserve">4141</t>
  </si>
  <si>
    <t xml:space="preserve">UIF contribution (employee and employer)</t>
  </si>
  <si>
    <t xml:space="preserve">Carries BOTH contributions - the employee's one percent and the employer's - as a single figure on the certificate. Reporting only the employee half is a common reconciliation error. 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</si>
  <si>
    <t xml:space="preserve">4142</t>
  </si>
  <si>
    <t xml:space="preserve">SDL contribution</t>
  </si>
  <si>
    <t xml:space="preserve">An employer liability, never deducted from the employee. 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</si>
  <si>
    <t xml:space="preserve">4149</t>
  </si>
  <si>
    <t xml:space="preserve">Total tax, UIF and SDL</t>
  </si>
  <si>
    <t xml:space="preserve">total</t>
  </si>
  <si>
    <t xml:space="preserve">bank</t>
  </si>
  <si>
    <t xml:space="preserve">Access Bank (South Africa) Limited</t>
  </si>
  <si>
    <t xml:space="preserve">universal_branch_code</t>
  </si>
  <si>
    <t xml:space="preserve">410105</t>
  </si>
  <si>
    <t xml:space="preserve">Single source - VERIFY. Universal branch codes as published by the banks, cross-checked 13 September 2026. Account number length not loaded: NULL means nobody has confirmed this bank's rule. Validation falls back to the general nine-to-eleven digit range.</t>
  </si>
  <si>
    <t xml:space="preserve">Albaraka Bank Limited</t>
  </si>
  <si>
    <t xml:space="preserve">800000</t>
  </si>
  <si>
    <t xml:space="preserve">Capitec Business</t>
  </si>
  <si>
    <t xml:space="preserve">450105</t>
  </si>
  <si>
    <t xml:space="preserve">Formerly Mercantile Bank. Single source - VERIFY. Universal branch codes as published by the banks, cross-checked 13 September 2026. Account number length not loaded: NULL means nobody has confirmed this bank's rule. Validation falls back to the general nine-to-eleven digit range.</t>
  </si>
  <si>
    <t xml:space="preserve">Finbond Mutual Bank</t>
  </si>
  <si>
    <t xml:space="preserve">589000</t>
  </si>
  <si>
    <t xml:space="preserve">Grindrod Bank Limited</t>
  </si>
  <si>
    <t xml:space="preserve">584000</t>
  </si>
  <si>
    <t xml:space="preserve">Sasfin Bank Limited</t>
  </si>
  <si>
    <t xml:space="preserve">683000</t>
  </si>
  <si>
    <t xml:space="preserve">South African Postbank</t>
  </si>
  <si>
    <t xml:space="preserve">460005</t>
  </si>
  <si>
    <t xml:space="preserve">Wage rates, PAYE tables and scalar parameters</t>
  </si>
  <si>
    <t xml:space="preserve">The money figures. Every one is either gazetted or published by SARS, so every one has a document you can open.</t>
  </si>
  <si>
    <t xml:space="preserve">Source link</t>
  </si>
  <si>
    <t xml:space="preserve">minimum_wage_rate</t>
  </si>
  <si>
    <t xml:space="preserve">CONTRACT_CLEANING / AREA_A</t>
  </si>
  <si>
    <t xml:space="preserve">hourly_rate</t>
  </si>
  <si>
    <t xml:space="preserve">33.2700</t>
  </si>
  <si>
    <t xml:space="preserve">GN R.7083, GG 54075, 3 February 2026 (National Minimum Wage Act 9 of 2018)</t>
  </si>
  <si>
    <t xml:space="preserve">https://www.gov.za/sites/default/files/gcis_document/202602/54075rg11941gon7083.pdf</t>
  </si>
  <si>
    <t xml:space="preserve">CONTRACT_CLEANING / AREA_B</t>
  </si>
  <si>
    <t xml:space="preserve">30.3300</t>
  </si>
  <si>
    <t xml:space="preserve">NMW</t>
  </si>
  <si>
    <t xml:space="preserve">30.2300</t>
  </si>
  <si>
    <t xml:space="preserve">tax_year</t>
  </si>
  <si>
    <t xml:space="preserve">2026/2027</t>
  </si>
  <si>
    <t xml:space="preserve">start and end</t>
  </si>
  <si>
    <t xml:space="preserve">2026-03-01 to 2027-02-28</t>
  </si>
  <si>
    <t xml:space="preserve">Income Tax Act — the year of assessment</t>
  </si>
  <si>
    <t xml:space="preserve">paye_tax_bracket</t>
  </si>
  <si>
    <t xml:space="preserve">2026/2027 band 1</t>
  </si>
  <si>
    <t xml:space="preserve">base + marginal rate</t>
  </si>
  <si>
    <t xml:space="preserve">0.00 to 245100.00: 0.00 + 18.000%</t>
  </si>
  <si>
    <t xml:space="preserve">SARS Rates of Tax for Individuals, 2027 tax year (1 March 2026 - 28 February 2027)</t>
  </si>
  <si>
    <t xml:space="preserve">https://www.sars.gov.za/tax-rates/income-tax/rates-of-tax-for-individuals/</t>
  </si>
  <si>
    <t xml:space="preserve">2026/2027 band 2</t>
  </si>
  <si>
    <t xml:space="preserve">245100.00 to 383100.00: 44118.00 + 26.000%</t>
  </si>
  <si>
    <t xml:space="preserve">2026/2027 band 3</t>
  </si>
  <si>
    <t xml:space="preserve">383100.00 to 530200.00: 79998.00 + 31.000%</t>
  </si>
  <si>
    <t xml:space="preserve">2026/2027 band 4</t>
  </si>
  <si>
    <t xml:space="preserve">530200.00 to 695800.00: 125599.00 + 36.000%</t>
  </si>
  <si>
    <t xml:space="preserve">2026/2027 band 5</t>
  </si>
  <si>
    <t xml:space="preserve">695800.00 to 887000.00: 185215.00 + 39.000%</t>
  </si>
  <si>
    <t xml:space="preserve">2026/2027 band 6</t>
  </si>
  <si>
    <t xml:space="preserve">887000.00 to 1878600.00: 259783.00 + 41.000%</t>
  </si>
  <si>
    <t xml:space="preserve">2026/2027 band 7</t>
  </si>
  <si>
    <t xml:space="preserve">1878600.00 to and above: 666339.00 + 45.000%</t>
  </si>
  <si>
    <t xml:space="preserve">paye_rebate</t>
  </si>
  <si>
    <t xml:space="preserve">2026/2027 primary</t>
  </si>
  <si>
    <t xml:space="preserve">amount / threshold</t>
  </si>
  <si>
    <t xml:space="preserve">17820.00 / 99000.00</t>
  </si>
  <si>
    <t xml:space="preserve">2026/2027 secondary</t>
  </si>
  <si>
    <t xml:space="preserve">9765.00 / 153250.00</t>
  </si>
  <si>
    <t xml:space="preserve">2026/2027 tertiary</t>
  </si>
  <si>
    <t xml:space="preserve">3249.00 / 171300.00</t>
  </si>
  <si>
    <t xml:space="preserve">medical_tax_credit_rate</t>
  </si>
  <si>
    <t xml:space="preserve">main / first / additional</t>
  </si>
  <si>
    <t xml:space="preserve">376.00 / 376.00 / 254.00</t>
  </si>
  <si>
    <t xml:space="preserve">SARS Medical Tax Credit Rates, 2027 tax year (1 March 2026 - 28 February 2027)</t>
  </si>
  <si>
    <t xml:space="preserve">https://www.sars.gov.za/tax-rates/medical-tax-credit-rates/</t>
  </si>
  <si>
    <t xml:space="preserve">BCEA_EARNINGS_THRESHOLD</t>
  </si>
  <si>
    <t xml:space="preserve">from 2026-05-01</t>
  </si>
  <si>
    <t xml:space="preserve">269600.900000 ZAR</t>
  </si>
  <si>
    <t xml:space="preserve">GN 7384, GG 54544, 17 April 2026 (Basic Conditions of Employment Act 75 of 1997, s6(3))</t>
  </si>
  <si>
    <t xml:space="preserve">from 2025-04-01</t>
  </si>
  <si>
    <t xml:space="preserve">261748.450000 ZAR</t>
  </si>
  <si>
    <t xml:space="preserve">GN 5970, GG 52232, March 2025 (Basic Conditions of Employment Act 75 of 1997, s6(3))</t>
  </si>
  <si>
    <t xml:space="preserve">MINIMUM_EMPLOYMENT_AGE</t>
  </si>
  <si>
    <t xml:space="preserve">from 1997-12-01</t>
  </si>
  <si>
    <t xml:space="preserve">15.000000 years</t>
  </si>
  <si>
    <t xml:space="preserve">Basic Conditions of Employment Act 75 of 1997, s43(1). Commencement of Chapter 6.</t>
  </si>
  <si>
    <t xml:space="preserve">https://www.labour.gov.za/DocumentCenter/Acts/Basic%20Conditions%20of%20Employment/Act%20-%20Basic%20Conditions%20of%20Employment.pdf</t>
  </si>
  <si>
    <t xml:space="preserve">MONTHLY_TO_WEEKLY_FACTOR</t>
  </si>
  <si>
    <t xml:space="preserve">4.333333 ratio</t>
  </si>
  <si>
    <t xml:space="preserve">Basic Conditions of Employment Act 75 of 1997, s35, read with Form BCEA1A (Regulation 2), Summary of the Act</t>
  </si>
  <si>
    <t xml:space="preserve">https://www.wits.ac.za/media/wits-university/about-wits/documents/Form%20BCEA1A%20-%20Summary%20of%20the%20Act%20-%20English.pdf</t>
  </si>
  <si>
    <t xml:space="preserve">SDL_ANNUAL_EXEMPTION</t>
  </si>
  <si>
    <t xml:space="preserve">500000.000000 ZAR</t>
  </si>
  <si>
    <t xml:space="preserve">Skills Development Levies Act 9 of 1999, s4(b)</t>
  </si>
  <si>
    <t xml:space="preserve">SDL_RATE_PCT</t>
  </si>
  <si>
    <t xml:space="preserve">1.000000 percent</t>
  </si>
  <si>
    <t xml:space="preserve">Skills Development Levies Act 9 of 1999, s3(1)</t>
  </si>
  <si>
    <t xml:space="preserve">UIF_EMPLOYEE_RATE_PCT</t>
  </si>
  <si>
    <t xml:space="preserve">from 2002-04-01</t>
  </si>
  <si>
    <t xml:space="preserve">Unemployment Insurance Contributions Act 4 of 2002, s6(1)(a)</t>
  </si>
  <si>
    <t xml:space="preserve">UIF_EMPLOYER_RATE_PCT</t>
  </si>
  <si>
    <t xml:space="preserve">Unemployment Insurance Contributions Act 4 of 2002, s6(1)(b)</t>
  </si>
  <si>
    <t xml:space="preserve">VAT_RATE_PCT</t>
  </si>
  <si>
    <t xml:space="preserve">15.000000 percent</t>
  </si>
  <si>
    <t xml:space="preserve">Value-Added Tax Act 89 of 1991, s7(1)(a)</t>
  </si>
  <si>
    <t xml:space="preserve">Leave, working time and termination rules</t>
  </si>
  <si>
    <t xml:space="preserve">One line per column per rule set: the BCEA default, domestic (SD7) and contract cleaning (SD1). A zero can mean the statute sets no figure — read the note.</t>
  </si>
  <si>
    <t xml:space="preserve">Rule set</t>
  </si>
  <si>
    <t xml:space="preserve">Applies to</t>
  </si>
  <si>
    <t xml:space="preserve">Note</t>
  </si>
  <si>
    <t xml:space="preserve">leave_rule_set</t>
  </si>
  <si>
    <t xml:space="preserve">BCEA default</t>
  </si>
  <si>
    <t xml:space="preserve">annual_leave_days_per_cycle_5day</t>
  </si>
  <si>
    <t xml:space="preserve">15.000</t>
  </si>
  <si>
    <t xml:space="preserve">Basic Conditions of Employment Act 75 of 1997, ss 20-27</t>
  </si>
  <si>
    <t xml:space="preserve">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</si>
  <si>
    <t xml:space="preserve">annual_leave_days_per_cycle_6day</t>
  </si>
  <si>
    <t xml:space="preserve">18.000</t>
  </si>
  <si>
    <t xml:space="preserve">annual_accrual_days_per_month_5day</t>
  </si>
  <si>
    <t xml:space="preserve">1.250</t>
  </si>
  <si>
    <t xml:space="preserve">annual_accrual_days_per_month_6day</t>
  </si>
  <si>
    <t xml:space="preserve">1.500</t>
  </si>
  <si>
    <t xml:space="preserve">annual_accrual_ratio_days_worked</t>
  </si>
  <si>
    <t xml:space="preserve">17</t>
  </si>
  <si>
    <t xml:space="preserve">annual_accrual_ratio_hours_worked</t>
  </si>
  <si>
    <t xml:space="preserve">annual_leave_cycle_months</t>
  </si>
  <si>
    <t xml:space="preserve">12</t>
  </si>
  <si>
    <t xml:space="preserve">annual_leave_forfeit_months</t>
  </si>
  <si>
    <t xml:space="preserve">6</t>
  </si>
  <si>
    <t xml:space="preserve">annual_leave_payable_on_termination</t>
  </si>
  <si>
    <t xml:space="preserve">True</t>
  </si>
  <si>
    <t xml:space="preserve">sick_leave_cycle_months</t>
  </si>
  <si>
    <t xml:space="preserve">36</t>
  </si>
  <si>
    <t xml:space="preserve">sick_leave_weeks_equivalent</t>
  </si>
  <si>
    <t xml:space="preserve">6.00</t>
  </si>
  <si>
    <t xml:space="preserve">sick_leave_first_six_months_ratio</t>
  </si>
  <si>
    <t xml:space="preserve">26</t>
  </si>
  <si>
    <t xml:space="preserve">sick_leave_payable_on_termination</t>
  </si>
  <si>
    <t xml:space="preserve">False</t>
  </si>
  <si>
    <t xml:space="preserve">family_responsibility_days</t>
  </si>
  <si>
    <t xml:space="preserve">3</t>
  </si>
  <si>
    <t xml:space="preserve">family_resp_min_service_months</t>
  </si>
  <si>
    <t xml:space="preserve">4</t>
  </si>
  <si>
    <t xml:space="preserve">family_resp_min_days_per_week</t>
  </si>
  <si>
    <t xml:space="preserve">parental_leave_total_months</t>
  </si>
  <si>
    <t xml:space="preserve">parental_leave_additional_days</t>
  </si>
  <si>
    <t xml:space="preserve">10</t>
  </si>
  <si>
    <t xml:space="preserve">parental_leave_shareable</t>
  </si>
  <si>
    <t xml:space="preserve">maternity_earliest_start_weeks_before_birth</t>
  </si>
  <si>
    <t xml:space="preserve">maternity_no_work_weeks_after_birth</t>
  </si>
  <si>
    <t xml:space="preserve">Sectoral Determination 7: Domestic Worker Sector, published in Regulation Gazette No. 7434 (consolidated text), read with Basic Conditions of Employment Act 75 of 1997 ss 20-27</t>
  </si>
  <si>
    <t xml:space="preserve">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</si>
  <si>
    <t xml:space="preserve">5</t>
  </si>
  <si>
    <t xml:space="preserve">CONTRACT_CLEANING</t>
  </si>
  <si>
    <t xml:space="preserve">Sectoral Determination 1: Contract Cleaning Sector, current consolidated text (clauses 3, 8-24), clauses 18, 19 and 22</t>
  </si>
  <si>
    <t xml:space="preserve">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</si>
  <si>
    <t xml:space="preserve">ordinary_hours_per_week</t>
  </si>
  <si>
    <t xml:space="preserve">45.00</t>
  </si>
  <si>
    <t xml:space="preserve">ordinary_hours_per_day_5day</t>
  </si>
  <si>
    <t xml:space="preserve">9.00</t>
  </si>
  <si>
    <t xml:space="preserve">ordinary_hours_per_day_6day</t>
  </si>
  <si>
    <t xml:space="preserve">8.00</t>
  </si>
  <si>
    <t xml:space="preserve">overtime_multiplier</t>
  </si>
  <si>
    <t xml:space="preserve">max_overtime_hours_per_day</t>
  </si>
  <si>
    <t xml:space="preserve">3.00</t>
  </si>
  <si>
    <t xml:space="preserve">max_overtime_hours_per_week</t>
  </si>
  <si>
    <t xml:space="preserve">15.00</t>
  </si>
  <si>
    <t xml:space="preserve">sunday_multiplier_non_ordinary</t>
  </si>
  <si>
    <t xml:space="preserve">2.000</t>
  </si>
  <si>
    <t xml:space="preserve">sunday_multiplier_ordinary</t>
  </si>
  <si>
    <t xml:space="preserve">public_holiday_worked_multiplier</t>
  </si>
  <si>
    <t xml:space="preserve">public_holiday_not_worked_paid</t>
  </si>
  <si>
    <t xml:space="preserve">night_work_start_time</t>
  </si>
  <si>
    <t xml:space="preserve">18:00:00</t>
  </si>
  <si>
    <t xml:space="preserve">night_work_end_time</t>
  </si>
  <si>
    <t xml:space="preserve">06:00:00</t>
  </si>
  <si>
    <t xml:space="preserve">night_allowance_type</t>
  </si>
  <si>
    <t xml:space="preserve">by_agreement</t>
  </si>
  <si>
    <t xml:space="preserve">night_allowance_value</t>
  </si>
  <si>
    <t xml:space="preserve">0.0000</t>
  </si>
  <si>
    <t xml:space="preserve">SD7 / BCEA s17(2) — reviewed 13 Sep 2026. Zero means the statute names no figure; night_allowance_type carries that. See D-113.</t>
  </si>
  <si>
    <t xml:space="preserve">standby_allowance_per_shift</t>
  </si>
  <si>
    <t xml:space="preserve">20.00</t>
  </si>
  <si>
    <t xml:space="preserve">standby_window_start</t>
  </si>
  <si>
    <t xml:space="preserve">20:00:00</t>
  </si>
  <si>
    <t xml:space="preserve">standby_window_end</t>
  </si>
  <si>
    <t xml:space="preserve">standby_hours_before_overtime</t>
  </si>
  <si>
    <t xml:space="preserve">min_paid_hours_per_day</t>
  </si>
  <si>
    <t xml:space="preserve">4.00</t>
  </si>
  <si>
    <t xml:space="preserve">meal_interval_after_hours</t>
  </si>
  <si>
    <t xml:space="preserve">5.00</t>
  </si>
  <si>
    <t xml:space="preserve">meal_interval_minutes</t>
  </si>
  <si>
    <t xml:space="preserve">60</t>
  </si>
  <si>
    <t xml:space="preserve">daily_rest_hours</t>
  </si>
  <si>
    <t xml:space="preserve">weekly_rest_hours</t>
  </si>
  <si>
    <t xml:space="preserve">accommodation_deduction_max_pct</t>
  </si>
  <si>
    <t xml:space="preserve">10.00</t>
  </si>
  <si>
    <t xml:space="preserve">Sectoral Determination 1: Contract Cleaning Sector, current consolidated text (clauses 3, 8-24), clauses 3(2), 8 to 17</t>
  </si>
  <si>
    <t xml:space="preserve">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</si>
  <si>
    <t xml:space="preserve">percentage</t>
  </si>
  <si>
    <t xml:space="preserve">10.0000</t>
  </si>
  <si>
    <t xml:space="preserve">0.00</t>
  </si>
  <si>
    <t xml:space="preserve">00:00:00</t>
  </si>
  <si>
    <t xml:space="preserve">Basic Conditions of Employment Act 75 of 1997, ss 9-18 and s9A</t>
  </si>
  <si>
    <t xml:space="preserve">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</si>
  <si>
    <t xml:space="preserve">termination_rule_set</t>
  </si>
  <si>
    <t xml:space="preserve">notice_weeks_under_6_months</t>
  </si>
  <si>
    <t xml:space="preserve">1.00</t>
  </si>
  <si>
    <t xml:space="preserve">Basic Conditions of Employment Act 75 of 1997, ss 37 and 41</t>
  </si>
  <si>
    <t xml:space="preserve">effective_from is the start of this reference data, not the provision's commencement. The rule itself is older. There is no statutory annual bonus in this sector, so the weeks are zero and the month is NULL. Contract cleaning is the sector that has one.</t>
  </si>
  <si>
    <t xml:space="preserve">notice_weeks_6_months_and_over</t>
  </si>
  <si>
    <t xml:space="preserve">2.00</t>
  </si>
  <si>
    <t xml:space="preserve">notice_weeks_over_1_year</t>
  </si>
  <si>
    <t xml:space="preserve">severance_weeks_per_completed_year</t>
  </si>
  <si>
    <t xml:space="preserve">severance_requires_operational_reason</t>
  </si>
  <si>
    <t xml:space="preserve">annual_bonus_weeks</t>
  </si>
  <si>
    <t xml:space="preserve">0.000</t>
  </si>
  <si>
    <t xml:space="preserve">annual_bonus_month</t>
  </si>
  <si>
    <t xml:space="preserve">annual_bonus_pro_rata_on_termination</t>
  </si>
  <si>
    <t xml:space="preserve">annual_bonus_min_service_months</t>
  </si>
  <si>
    <t xml:space="preserve">0</t>
  </si>
  <si>
    <t xml:space="preserve">Sectoral Determination 7: Domestic Worker Sector, published in Regulation Gazette No. 7434 (consolidated text), read with Basic Conditions of Employment Act 75 of 1997 s37(1)(c)</t>
  </si>
  <si>
    <t xml:space="preserve">Sectoral Determination 1: Contract Cleaning Sector, current consolidated text (clauses 3, 8-24), clauses 3(3), 23 and 24</t>
  </si>
  <si>
    <t xml:space="preserve">effective_from is the start of this reference data, not the provision's commencement. The rule itself is older. SD1 clause 3(3): 4,333 weeks of the weekly wage, paid in December or on termination. Under twelve months' service it is pro-rated as full calendar months divided by twelve, times 4,333, times the weekly wage - so a single full month earns a share, which is why the minimum service is zero. MODEL GAP, and it over-pays rather than under-pays. SD1 clause 23 splits notice at FOUR WEEKS of service, not at six months: one working day in the first four weeks, four weeks after that. This table's buckets are under-6-months, 6-months-and-over and over-1-year, which cannot express a boundary at four weeks. All three are therefore loaded at four weeks, so an employee in their first four weeks is given more notice than SD1 requires. The alternative - loading one working day in the under-6-months bucket - would under-pay every employee between one month and six months, which is a compliance breach rather than a cost. Needs a notice band table or a fourth column before P6.</t>
  </si>
  <si>
    <t xml:space="preserve">4.333</t>
  </si>
  <si>
    <t xml:space="preserve">Source codes and their four base flags</t>
  </si>
  <si>
    <t xml:space="preserve">The code and its wording are SARS's. The four flags are a reading of three statutes with three definitions of remuneration — those are what to check. READ THE COLUMN HEADING CAREFULLY: a flag says whether this amount is part of the BASE the levy is computed ON, not whether the levy is deducted. Code 4102 is PAYE itself and its PAYE flag is False, because PAYE is not calculated on PAYE. Every deduction and total reads that way.</t>
  </si>
  <si>
    <t xml:space="preserve">Code</t>
  </si>
  <si>
    <t xml:space="preserve">Description</t>
  </si>
  <si>
    <t xml:space="preserve">Group</t>
  </si>
  <si>
    <t xml:space="preserve">Is this amount IN the base for…</t>
  </si>
  <si>
    <t xml:space="preserve">Reasoning</t>
  </si>
  <si>
    <t xml:space="preserve">3601</t>
  </si>
  <si>
    <t xml:space="preserve">Income (Subject to PAYE)</t>
  </si>
  <si>
    <t xml:space="preserve">Ordinary salary and wages - the code carrying most of every payslip in both sectors. In all four bases. UIF base: Unemployment Insurance Contributions Act 4 of 2002, s6 read with the s1 definition of remuneration. SDL base: Skills Development Levies Act 9 of 1999, s3, on the leviable amount - remuneration as defined in the Fourth Schedule to the Income Tax Act. COIDA base: Compensation for Occupational Injuries and Diseases Act 130 of 1993, s1 definition of earnings.</t>
  </si>
  <si>
    <t xml:space="preserve">3602</t>
  </si>
  <si>
    <t xml:space="preserve">Income (Non-taxable)</t>
  </si>
  <si>
    <t xml:space="preserve">Outside the Fourth Schedule definition of remuneration, so outside the PAYE, UIF and SDL bases that are built on it.</t>
  </si>
  <si>
    <t xml:space="preserve">3605</t>
  </si>
  <si>
    <t xml:space="preserve">Annual payment (Subject to PAYE)</t>
  </si>
  <si>
    <t xml:space="preserve">The December bonus, and the contract cleaning sector's 4,333-week statutory bonus. In every base - bonuses are NOT excluded from UIF, unlike commission. The classic PAYE error lives here: annualise regular pay by twelve, then add the annual payment ONCE. Multiplying the bonus by twelve is the December over-deduction. UIF base: Unemployment Insurance Contributions Act 4 of 2002, s6 read with the s1 definition of remuneration.</t>
  </si>
  <si>
    <t xml:space="preserve">3696</t>
  </si>
  <si>
    <t xml:space="preserve">Gross non-taxable income</t>
  </si>
  <si>
    <t xml:space="preserve">A total or a deduction, not a pay line. All four base flags are False because nothing is ever calculated FROM this code - it is calculated INTO it. A calculator that reads a base flag here has asked the wrong question.</t>
  </si>
  <si>
    <t xml:space="preserve">3699</t>
  </si>
  <si>
    <t xml:space="preserve">Gross employment income (taxable)</t>
  </si>
  <si>
    <t xml:space="preserve">3713</t>
  </si>
  <si>
    <t xml:space="preserve">Other allowances (Subject to PAYE)</t>
  </si>
  <si>
    <t xml:space="preserve">allowance</t>
  </si>
  <si>
    <t xml:space="preserve">Where the sectoral allowances land: SD1's night allowance of 10 percent of the hourly wage, and SD7's standby allowance per shift. Both are remuneration in the ordinary sense and sit in every base.</t>
  </si>
  <si>
    <t xml:space="preserve">3714</t>
  </si>
  <si>
    <t xml:space="preserve">Other allowances (Non-taxable)</t>
  </si>
  <si>
    <t xml:space="preserve">Non-taxable by definition, and therefore outside the bases built on it.</t>
  </si>
  <si>
    <t xml:space="preserve">3801</t>
  </si>
  <si>
    <t xml:space="preserve">General fringe benefits (Subject to PAYE)</t>
  </si>
  <si>
    <t xml:space="preserve">fringe_benefit</t>
  </si>
  <si>
    <t xml:space="preserve">The domestic sector's live case is accommodation. SD7 permits a deduction of up to 10 percent of the wage for a room that meets its standard - a DEDUCTION from pay, which is a different thing from the taxable value of a benefit, and the two must not be netted against each other on a payslip.</t>
  </si>
  <si>
    <t xml:space="preserve">3810</t>
  </si>
  <si>
    <t xml:space="preserve">Medical aid contributions (Subject to PAYE)</t>
  </si>
  <si>
    <t xml:space="preserve">The employer's contribution to a medical scheme, taxed as a fringe benefit. Rare in both sectors, and the medical scheme fees tax credit that offsets it is code 4116.</t>
  </si>
  <si>
    <t xml:space="preserve">Public holidays, 2026 and 2027</t>
  </si>
  <si>
    <t xml:space="preserve">Generated from the Public Holidays Act, including the Sunday rule: a holiday falling on a Sunday is observed on the Monday.</t>
  </si>
  <si>
    <t xml:space="preserve">Date</t>
  </si>
  <si>
    <t xml:space="preserve">Holiday</t>
  </si>
  <si>
    <t xml:space="preserve">Monday shift</t>
  </si>
  <si>
    <t xml:space="preserve">2026-01-01</t>
  </si>
  <si>
    <t xml:space="preserve">New Year's Day</t>
  </si>
  <si>
    <t xml:space="preserve">Public Holidays Act 36 of 1994, Schedule 1</t>
  </si>
  <si>
    <t xml:space="preserve">2026-03-21</t>
  </si>
  <si>
    <t xml:space="preserve">Human Rights Day</t>
  </si>
  <si>
    <t xml:space="preserve">2026-04-03</t>
  </si>
  <si>
    <t xml:space="preserve">Good Friday</t>
  </si>
  <si>
    <t xml:space="preserve">2026-04-06</t>
  </si>
  <si>
    <t xml:space="preserve">Family Day</t>
  </si>
  <si>
    <t xml:space="preserve">2026-04-27</t>
  </si>
  <si>
    <t xml:space="preserve">Freedom Day</t>
  </si>
  <si>
    <t xml:space="preserve">2026-05-01</t>
  </si>
  <si>
    <t xml:space="preserve">Workers' Day</t>
  </si>
  <si>
    <t xml:space="preserve">2026-06-16</t>
  </si>
  <si>
    <t xml:space="preserve">Youth Day</t>
  </si>
  <si>
    <t xml:space="preserve">2026-08-10</t>
  </si>
  <si>
    <t xml:space="preserve">National Women's Day</t>
  </si>
  <si>
    <t xml:space="preserve">shifted from 2026-08-09</t>
  </si>
  <si>
    <t xml:space="preserve">Public Holidays Act 36 of 1994, s2(1)</t>
  </si>
  <si>
    <t xml:space="preserve">2026-09-24</t>
  </si>
  <si>
    <t xml:space="preserve">Heritage Day</t>
  </si>
  <si>
    <t xml:space="preserve">2026-12-16</t>
  </si>
  <si>
    <t xml:space="preserve">Day of Reconciliation</t>
  </si>
  <si>
    <t xml:space="preserve">2026-12-25</t>
  </si>
  <si>
    <t xml:space="preserve">Christmas Day</t>
  </si>
  <si>
    <t xml:space="preserve">2026-12-26</t>
  </si>
  <si>
    <t xml:space="preserve">Day of Goodwill</t>
  </si>
  <si>
    <t xml:space="preserve">2027-01-01</t>
  </si>
  <si>
    <t xml:space="preserve">2027-03-22</t>
  </si>
  <si>
    <t xml:space="preserve">shifted from 2027-03-21</t>
  </si>
  <si>
    <t xml:space="preserve">2027-03-26</t>
  </si>
  <si>
    <t xml:space="preserve">2027-03-29</t>
  </si>
  <si>
    <t xml:space="preserve">2027-04-27</t>
  </si>
  <si>
    <t xml:space="preserve">2027-05-01</t>
  </si>
  <si>
    <t xml:space="preserve">2027-06-16</t>
  </si>
  <si>
    <t xml:space="preserve">2027-08-09</t>
  </si>
  <si>
    <t xml:space="preserve">2027-09-24</t>
  </si>
  <si>
    <t xml:space="preserve">2027-12-16</t>
  </si>
  <si>
    <t xml:space="preserve">2027-12-25</t>
  </si>
  <si>
    <t xml:space="preserve">2027-12-27</t>
  </si>
  <si>
    <t xml:space="preserve">shifted from 2027-12-26</t>
  </si>
  <si>
    <t xml:space="preserve">Banks and universal branch codes</t>
  </si>
  <si>
    <t xml:space="preserve">No account number lengths are loaded — NULL means nobody has confirmed that bank's rule, and a guessed bound leaves somebody unpaid.</t>
  </si>
  <si>
    <t xml:space="preserve">Bank</t>
  </si>
  <si>
    <t xml:space="preserve">Universal branch code</t>
  </si>
  <si>
    <t xml:space="preserve">Absa Bank Limited</t>
  </si>
  <si>
    <t xml:space="preserve">632005</t>
  </si>
  <si>
    <t xml:space="preserve">Cross-checked against two independent published lists. Universal branch codes as published by the banks, cross-checked 13 September 2026. Account number length not loaded: NULL means nobody has confirmed this bank's rule. Validation falls back to the general nine-to-eleven digit range.</t>
  </si>
  <si>
    <t xml:space="preserve">African Bank Limited</t>
  </si>
  <si>
    <t xml:space="preserve">430000</t>
  </si>
  <si>
    <t xml:space="preserve">Bank Zero Mutual Bank</t>
  </si>
  <si>
    <t xml:space="preserve">888000</t>
  </si>
  <si>
    <t xml:space="preserve">Bank of China</t>
  </si>
  <si>
    <t xml:space="preserve">686000</t>
  </si>
  <si>
    <t xml:space="preserve">Corporate or foreign branch. Present so an employee banking there can be paid, not because either sector's employees commonly do. Universal branch codes as published by the banks, cross-checked 13 September 2026. Account number length not loaded: NULL means nobody has confirmed this bank's rule. Validation falls back to the general nine-to-eleven digit range.</t>
  </si>
  <si>
    <t xml:space="preserve">Bidvest Bank Limited</t>
  </si>
  <si>
    <t xml:space="preserve">462005</t>
  </si>
  <si>
    <t xml:space="preserve">Capitec Bank Limited</t>
  </si>
  <si>
    <t xml:space="preserve">470010</t>
  </si>
  <si>
    <t xml:space="preserve">China Construction Bank</t>
  </si>
  <si>
    <t xml:space="preserve">586666</t>
  </si>
  <si>
    <t xml:space="preserve">Discovery Bank Limited</t>
  </si>
  <si>
    <t xml:space="preserve">679000</t>
  </si>
  <si>
    <t xml:space="preserve">FirstRand Bank Limited (FNB)</t>
  </si>
  <si>
    <t xml:space="preserve">250655</t>
  </si>
  <si>
    <t xml:space="preserve">Cross-checked against two independent published lists. FNB is a division of FirstRand Bank; employees will say 'FNB'. Universal branch codes as published by the banks, cross-checked 13 September 2026. Account number length not loaded: NULL means nobody has confirmed this bank's rule. Validation falls back to the general nine-to-eleven digit range.</t>
  </si>
  <si>
    <t xml:space="preserve">GoTyme Bank Limited</t>
  </si>
  <si>
    <t xml:space="preserve">678910</t>
  </si>
  <si>
    <t xml:space="preserve">Rebranded from TymeBank in January 2026. Code unchanged. Universal branch codes as published by the banks, cross-checked 13 September 2026. Account number length not loaded: NULL means nobody has confirmed this bank's rule. Validation falls back to the general nine-to-eleven digit range.</t>
  </si>
  <si>
    <t xml:space="preserve">HSBC Bank</t>
  </si>
  <si>
    <t xml:space="preserve">587000</t>
  </si>
  <si>
    <t xml:space="preserve">ICICI Bank Limited</t>
  </si>
  <si>
    <t xml:space="preserve">362000</t>
  </si>
  <si>
    <t xml:space="preserve">Investec Bank Limited</t>
  </si>
  <si>
    <t xml:space="preserve">580105</t>
  </si>
  <si>
    <t xml:space="preserve">JP Morgan Chase Bank N.A.</t>
  </si>
  <si>
    <t xml:space="preserve">432000</t>
  </si>
  <si>
    <t xml:space="preserve">Nedbank Limited</t>
  </si>
  <si>
    <t xml:space="preserve">198765</t>
  </si>
  <si>
    <t xml:space="preserve">Societe Generale</t>
  </si>
  <si>
    <t xml:space="preserve">351005</t>
  </si>
  <si>
    <t xml:space="preserve">Standard Bank of South Africa</t>
  </si>
  <si>
    <t xml:space="preserve">051001</t>
  </si>
  <si>
    <t xml:space="preserve">State Bank of India</t>
  </si>
  <si>
    <t xml:space="preserve">801000</t>
  </si>
  <si>
    <t xml:space="preserve">What moves, and when to look for it</t>
  </si>
  <si>
    <t xml:space="preserve">Loaded as data so a new person inherits the calendar rather than the folklore.</t>
  </si>
  <si>
    <t xml:space="preserve">What</t>
  </si>
  <si>
    <t xml:space="preserve">Expected</t>
  </si>
  <si>
    <t xml:space="preserve">Where to look</t>
  </si>
  <si>
    <t xml:space="preserve">National Minimum Wage and sectoral schedules</t>
  </si>
  <si>
    <t xml:space="preserve">late January to mid February</t>
  </si>
  <si>
    <t xml:space="preserve">Department of Employment and Labour gazette https://www.gov.za/sites/default/files/gcis_document/202602/54075rg11941gon7083.pdf</t>
  </si>
  <si>
    <t xml:space="preserve">The NMW Commission's recommendation is gazetted for comment and then finally, effective 1 March. Check the general rate, the EPWP rate and the contract cleaning schedule, which moves with it.</t>
  </si>
  <si>
    <t xml:space="preserve">PAYE brackets, rebates, thresholds and medical credits</t>
  </si>
  <si>
    <t xml:space="preserve">Budget speech, late February</t>
  </si>
  <si>
    <t xml:space="preserve">SARS rates of tax for individuals https://www.sars.gov.za/tax-rates/income-tax/rates-of-tax-for-individuals/</t>
  </si>
  <si>
    <t xml:space="preserve">Announced in the Budget and effective 1 March. All four move together; a year where the brackets are unchanged still needs the medical credits checked.</t>
  </si>
  <si>
    <t xml:space="preserve">BCEA earnings threshold</t>
  </si>
  <si>
    <t xml:space="preserve">March to April</t>
  </si>
  <si>
    <t xml:space="preserve">Department of Employment and Labour gazette</t>
  </si>
  <si>
    <t xml:space="preserve">Determined under s6(3) and usually effective 1 April or 1 May, on its own calendar rather than the tax year's.</t>
  </si>
  <si>
    <t xml:space="preserve">UIF contribution ceiling</t>
  </si>
  <si>
    <t xml:space="preserve">no fixed window - swept quarterly</t>
  </si>
  <si>
    <t xml:space="preserve">Moves on ministerial notice with NO fixed calendar - it sat unchanged from October 2012 to June 2021 and has not moved since. The parameter most often missed in South African payroll, precisely because there is no date to watch.</t>
  </si>
  <si>
    <t xml:space="preserve">COIDA maximum amount of earnings</t>
  </si>
  <si>
    <t xml:space="preserve">February to April</t>
  </si>
  <si>
    <t xml:space="preserve">Compensation Fund notice</t>
  </si>
  <si>
    <t xml:space="preserve">Increased by the Minister for each assessment year, usually announced shortly before the Return of Earnings season opens.</t>
  </si>
  <si>
    <t xml:space="preserve">Public holidays, including proclaimed once-off days</t>
  </si>
  <si>
    <t xml:space="preserve">any time, by proclamation</t>
  </si>
  <si>
    <t xml:space="preserve">Public Holidays Act and Presidential proclamations</t>
  </si>
  <si>
    <t xml:space="preserve">The twelve statutory days are computable, but election days and days of mourning are proclaimed with little notice and follow no rule. Load the next calendar year each December.</t>
  </si>
  <si>
    <t xml:space="preserve">Contract cleaning KwaZulu-Natal collective agreement</t>
  </si>
  <si>
    <t xml:space="preserve">per the council's agreement cycle</t>
  </si>
  <si>
    <t xml:space="preserve">Bargaining Council for the Contract Cleaning Service Industry</t>
  </si>
  <si>
    <t xml:space="preserve">Area C has no gazetted figure. Its wages come from the BCCCI collective agreement, which is extended by the Minister and runs on its own cycle. NOT YET LOADED - the agreement is needed before any KwaZulu-Natal contract cleaning employer can be onboarded.</t>
  </si>
  <si>
    <t xml:space="preserve">The 7 reference data versions</t>
  </si>
  <si>
    <t xml:space="preserve">A version that is not verified is not in force, and every payroll run stays blocked. That is deliberate.</t>
  </si>
  <si>
    <t xml:space="preserve">Version</t>
  </si>
  <si>
    <t xml:space="preserve">Applies from</t>
  </si>
  <si>
    <t xml:space="preserve">Checksum</t>
  </si>
  <si>
    <t xml:space="preserve">State</t>
  </si>
  <si>
    <t xml:space="preserve">What it holds</t>
  </si>
  <si>
    <t xml:space="preserve">REF-2026.03.01</t>
  </si>
  <si>
    <t xml:space="preserve">2026-03-01</t>
  </si>
  <si>
    <t xml:space="preserve">b31999930396</t>
  </si>
  <si>
    <t xml:space="preserve">not verified</t>
  </si>
  <si>
    <t xml:space="preserve">First statutory reference load: the 1 March 2026 wage floors, the SARS 2027 tax year tables, the contribution parameters, and public holidays for 2026 and 2027. Researched from primary sources on 13 S</t>
  </si>
  <si>
    <t xml:space="preserve">REF-2026.03.01-RULES</t>
  </si>
  <si>
    <t xml:space="preserve">711194f646af</t>
  </si>
  <si>
    <t xml:space="preserve">Sector rule sets: the BCEA default and the domestic sector's Sectoral Determination 7 overrides, for leave, working time and termination. Contract cleaning is deliberately absent - SD1 has not been re</t>
  </si>
  <si>
    <t xml:space="preserve">REF-2026.03.01-SD1</t>
  </si>
  <si>
    <t xml:space="preserve">23ca1a161883</t>
  </si>
  <si>
    <t xml:space="preserve">Contract cleaning sector rule sets from Sectoral Determination 1, clauses 3 and 8 to 24. Researched 13 September 2026 from two independent transcriptions of the consolidated determination. NOT verifie</t>
  </si>
  <si>
    <t xml:space="preserve">REF-2026.03.01-CODES</t>
  </si>
  <si>
    <t xml:space="preserve">d4f7dceebff9</t>
  </si>
  <si>
    <t xml:space="preserve">SARS source codes used by the domestic and contract cleaning sectors, with the PAYE, UIF, SDL and COIDA base flags and the reasoning behind each. Researched 13 September 2026. NOT verified.</t>
  </si>
  <si>
    <t xml:space="preserve">REF-2026.03.01-BANKS</t>
  </si>
  <si>
    <t xml:space="preserve">90132aaf18b6</t>
  </si>
  <si>
    <t xml:space="preserve">South African banks and their universal branch codes, for payslip display and EFT file validation. Account number lengths deliberately not loaded. Compiled 13 September 2026. NOT verified.</t>
  </si>
  <si>
    <t xml:space="preserve">REF-2026.03.01-EMPLOYMENT</t>
  </si>
  <si>
    <t xml:space="preserve">b4c886e22916</t>
  </si>
  <si>
    <t xml:space="preserve">Employment eligibility thresholds. Researched 13 September 2026 from the Basic Conditions of Employment Act. NOT verified.</t>
  </si>
  <si>
    <t xml:space="preserve">REF-2026.03.01-REMUNERATION</t>
  </si>
  <si>
    <t xml:space="preserve">eec991e9abc8</t>
  </si>
  <si>
    <t xml:space="preserve">Rate derivation constants from the Basic Conditions of Employment Act. Researched 13 September 2026. NOT verified.</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</si>
</sst>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1"/>
      <color rgb="FF000000"/>
      <name val="Arial"/>
      <family val="0"/>
      <charset val="1"/>
    </font>
    <font>
      <b val="true"/>
      <sz val="12"/>
      <color rgb="FF1F3864"/>
      <name val="Arial"/>
      <family val="0"/>
      <charset val="1"/>
    </font>
    <font>
      <sz val="10"/>
      <name val="Arial"/>
      <family val="0"/>
      <charset val="1"/>
    </font>
    <font>
      <b val="true"/>
      <sz val="10"/>
      <name val="Arial"/>
      <family val="0"/>
      <charset val="1"/>
    </font>
    <font>
      <b val="true"/>
      <sz val="11"/>
      <color rgb="FF1F3864"/>
      <name val="Arial"/>
      <family val="0"/>
      <charset val="1"/>
    </font>
    <font>
      <b val="true"/>
      <sz val="14"/>
      <color rgb="FF1F3864"/>
      <name val="Arial"/>
      <family val="0"/>
      <charset val="1"/>
    </font>
    <font>
      <i val="true"/>
      <sz val="10"/>
      <color rgb="FF595959"/>
      <name val="Arial"/>
      <family val="0"/>
      <charset val="1"/>
    </font>
    <font>
      <b val="true"/>
      <sz val="10"/>
      <color rgb="FFFFFFFF"/>
      <name val="Arial"/>
      <family val="0"/>
      <charset val="1"/>
    </font>
  </fonts>
  <fills count="6">
    <fill>
      <patternFill patternType="none"/>
    </fill>
    <fill>
      <patternFill patternType="gray125"/>
    </fill>
    <fill>
      <patternFill patternType="solid">
        <fgColor rgb="FFFFF2CC"/>
        <bgColor rgb="FFFCE4D6"/>
      </patternFill>
    </fill>
    <fill>
      <patternFill patternType="solid">
        <fgColor rgb="FF1F3864"/>
        <bgColor rgb="FF333333"/>
      </patternFill>
    </fill>
    <fill>
      <patternFill patternType="solid">
        <fgColor rgb="FFFCE4D6"/>
        <bgColor rgb="FFFFF2CC"/>
      </patternFill>
    </fill>
    <fill>
      <patternFill patternType="solid">
        <fgColor rgb="FFE2EFDA"/>
        <bgColor rgb="FFC6EF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center" textRotation="0" wrapText="tru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FCE"/>
        </patternFill>
      </fill>
    </dxf>
    <dxf>
      <fill>
        <patternFill>
          <bgColor rgb="FFFFC7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 collapsed="false" customWidth="true" hidden="false" outlineLevel="0" max="3" min="3" style="1" width="26"/>
    <col collapsed="false" customWidth="true" hidden="false" outlineLevel="0" max="4" min="4" style="1" width="22"/>
  </cols>
  <sheetData>
    <row r="1" customFormat="false" ht="19.5" hidden="false" customHeight="true" outlineLevel="0" collapsed="false">
      <c r="A1" s="2" t="s">
        <v>0</v>
      </c>
    </row>
    <row r="2" customFormat="false" ht="15" hidden="false" customHeight="true" outlineLevel="0" collapsed="false">
      <c r="A2" s="3"/>
      <c r="C2" s="4" t="s">
        <v>1</v>
      </c>
    </row>
    <row r="3" customFormat="false" ht="15" hidden="false" customHeight="true" outlineLevel="0" collapsed="false">
      <c r="A3" s="3" t="s">
        <v>2</v>
      </c>
      <c r="C3" s="5" t="s">
        <v>3</v>
      </c>
      <c r="D3" s="6" t="str">
        <f aca="false">COUNTA(Priority!G5:G2000)&amp;" of "&amp;COUNTA(Priority!A5:A2000)&amp;" checked"</f>
        <v>20 of 20 checked</v>
      </c>
    </row>
    <row r="4" customFormat="false" ht="15" hidden="false" customHeight="true" outlineLevel="0" collapsed="false">
      <c r="A4" s="3"/>
      <c r="C4" s="5" t="s">
        <v>4</v>
      </c>
      <c r="D4" s="6" t="str">
        <f aca="false">COUNTA('Rates and parameters'!G5:G2000)&amp;" of "&amp;COUNTA('Rates and parameters'!A5:A2000)&amp;" checked"</f>
        <v>0 of 27 checked</v>
      </c>
    </row>
    <row r="5" customFormat="false" ht="15" hidden="false" customHeight="true" outlineLevel="0" collapsed="false">
      <c r="A5" s="3" t="s">
        <v>5</v>
      </c>
      <c r="C5" s="5" t="s">
        <v>6</v>
      </c>
      <c r="D5" s="6" t="str">
        <f aca="false">COUNTA('Rule sets'!G5:G2000)&amp;" of "&amp;COUNTA('Rule sets'!A5:A2000)&amp;" checked"</f>
        <v>24 of 162 checked</v>
      </c>
    </row>
    <row r="6" customFormat="false" ht="15" hidden="false" customHeight="true" outlineLevel="0" collapsed="false">
      <c r="A6" s="3"/>
      <c r="C6" s="5" t="s">
        <v>7</v>
      </c>
      <c r="D6" s="6" t="str">
        <f aca="false">COUNTA('SARS source codes'!G5:G2000)&amp;" of "&amp;COUNTA('SARS source codes'!A5:A2000)&amp;" checked"</f>
        <v>10 of 19 checked</v>
      </c>
    </row>
    <row r="7" customFormat="false" ht="15" hidden="false" customHeight="true" outlineLevel="0" collapsed="false">
      <c r="A7" s="7" t="s">
        <v>8</v>
      </c>
      <c r="C7" s="5" t="s">
        <v>9</v>
      </c>
      <c r="D7" s="6" t="str">
        <f aca="false">COUNTA('Public holidays'!E5:E2000)&amp;" of "&amp;COUNTA('Public holidays'!A5:A2000)&amp;" checked"</f>
        <v>0 of 24 checked</v>
      </c>
    </row>
    <row r="8" customFormat="false" ht="15" hidden="false" customHeight="true" outlineLevel="0" collapsed="false">
      <c r="A8" s="3"/>
      <c r="C8" s="5" t="s">
        <v>10</v>
      </c>
      <c r="D8" s="6" t="str">
        <f aca="false">COUNTA(Banks!D5:D2000)&amp;" of "&amp;COUNTA(Banks!A5:A2000)&amp;" checked"</f>
        <v>7 of 25 checked</v>
      </c>
    </row>
    <row r="9" customFormat="false" ht="15" hidden="false" customHeight="true" outlineLevel="0" collapsed="false">
      <c r="A9" s="3" t="s">
        <v>11</v>
      </c>
    </row>
    <row r="10" customFormat="false" ht="15" hidden="false" customHeight="true" outlineLevel="0" collapsed="false">
      <c r="A10" s="3" t="s">
        <v>12</v>
      </c>
    </row>
    <row r="11" customFormat="false" ht="15" hidden="false" customHeight="true" outlineLevel="0" collapsed="false">
      <c r="A11" s="3" t="s">
        <v>13</v>
      </c>
    </row>
    <row r="12" customFormat="false" ht="15" hidden="false" customHeight="true" outlineLevel="0" collapsed="false">
      <c r="A12" s="3"/>
    </row>
    <row r="13" customFormat="false" ht="15" hidden="false" customHeight="true" outlineLevel="0" collapsed="false">
      <c r="A13" s="3" t="s">
        <v>14</v>
      </c>
    </row>
    <row r="14" customFormat="false" ht="15" hidden="false" customHeight="true" outlineLevel="0" collapsed="false">
      <c r="A14" s="3" t="s">
        <v>15</v>
      </c>
    </row>
    <row r="15" customFormat="false" ht="15" hidden="false" customHeight="true" outlineLevel="0" collapsed="false">
      <c r="A15" s="3" t="s">
        <v>16</v>
      </c>
    </row>
    <row r="16" customFormat="false" ht="15" hidden="false" customHeight="true" outlineLevel="0" collapsed="false">
      <c r="A16" s="3"/>
    </row>
    <row r="17" customFormat="false" ht="15" hidden="false" customHeight="true" outlineLevel="0" collapsed="false">
      <c r="A17" s="3" t="s">
        <v>17</v>
      </c>
    </row>
    <row r="18" customFormat="false" ht="15" hidden="false" customHeight="true" outlineLevel="0" collapsed="false">
      <c r="A18" s="3"/>
    </row>
    <row r="19" customFormat="false" ht="15" hidden="false" customHeight="true" outlineLevel="0" collapsed="false">
      <c r="A19" s="3" t="s">
        <v>18</v>
      </c>
    </row>
    <row r="20" customFormat="false" ht="15" hidden="false" customHeight="true" outlineLevel="0" collapsed="false">
      <c r="A20" s="3"/>
    </row>
    <row r="21" customFormat="false" ht="15" hidden="false" customHeight="true" outlineLevel="0" collapsed="false">
      <c r="A21" s="3" t="s">
        <v>19</v>
      </c>
    </row>
    <row r="22" customFormat="false" ht="15" hidden="false" customHeight="true" outlineLevel="0" collapsed="false">
      <c r="A22" s="3" t="s">
        <v>20</v>
      </c>
    </row>
    <row r="23" customFormat="false" ht="15" hidden="false" customHeight="true" outlineLevel="0" collapsed="false">
      <c r="A23" s="3"/>
    </row>
    <row r="24" customFormat="false" ht="15" hidden="false" customHeight="true" outlineLevel="0" collapsed="false">
      <c r="A24" s="3" t="s">
        <v>21</v>
      </c>
    </row>
    <row r="25" customFormat="false" ht="15" hidden="false" customHeight="true" outlineLevel="0" collapsed="false">
      <c r="A25" s="3"/>
    </row>
    <row r="26" customFormat="false" ht="15" hidden="false" customHeight="true" outlineLevel="0" collapsed="false">
      <c r="A26" s="7" t="s">
        <v>22</v>
      </c>
    </row>
    <row r="27" customFormat="false" ht="15" hidden="false" customHeight="true" outlineLevel="0" collapsed="false">
      <c r="A27" s="3"/>
    </row>
    <row r="28" customFormat="false" ht="15" hidden="false" customHeight="true" outlineLevel="0" collapsed="false">
      <c r="A28" s="3" t="s">
        <v>23</v>
      </c>
    </row>
    <row r="29" customFormat="false" ht="15" hidden="false" customHeight="true" outlineLevel="0" collapsed="false">
      <c r="A29" s="3"/>
    </row>
    <row r="30" customFormat="false" ht="15" hidden="false" customHeight="true" outlineLevel="0" collapsed="false">
      <c r="A30" s="3" t="s">
        <v>24</v>
      </c>
    </row>
    <row r="31" customFormat="false" ht="15" hidden="false" customHeight="true" outlineLevel="0" collapsed="false">
      <c r="A31" s="3"/>
    </row>
    <row r="32" customFormat="false" ht="15" hidden="false" customHeight="true" outlineLevel="0" collapsed="false">
      <c r="A32" s="3" t="s">
        <v>25</v>
      </c>
    </row>
    <row r="33" customFormat="false" ht="15" hidden="false" customHeight="true" outlineLevel="0" collapsed="false">
      <c r="A33" s="3"/>
    </row>
    <row r="34" customFormat="false" ht="15" hidden="false" customHeight="true" outlineLevel="0" collapsed="false">
      <c r="A34" s="3"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26"/>
    <col collapsed="false" customWidth="true" hidden="false" outlineLevel="0" max="4" min="3" style="1" width="30"/>
    <col collapsed="false" customWidth="true" hidden="false" outlineLevel="0" max="5" min="5" style="1" width="46"/>
    <col collapsed="false" customWidth="true" hidden="false" outlineLevel="0" max="6" min="6" style="1" width="64"/>
    <col collapsed="false" customWidth="true" hidden="false" outlineLevel="0" max="7" min="7" style="1" width="12"/>
    <col collapsed="false" customWidth="true" hidden="false" outlineLevel="0" max="8" min="8" style="1" width="18"/>
    <col collapsed="false" customWidth="true" hidden="false" outlineLevel="0" max="9" min="9" style="1" width="26"/>
  </cols>
  <sheetData>
    <row r="1" customFormat="false" ht="17.25" hidden="false" customHeight="true" outlineLevel="0" collapsed="false">
      <c r="A1" s="8" t="s">
        <v>27</v>
      </c>
    </row>
    <row r="2" customFormat="false" ht="15" hidden="false" customHeight="true" outlineLevel="0" collapsed="false">
      <c r="A2" s="9" t="s">
        <v>28</v>
      </c>
    </row>
    <row r="4" customFormat="false" ht="15" hidden="false" customHeight="true" outlineLevel="0" collapsed="false">
      <c r="A4" s="10" t="s">
        <v>29</v>
      </c>
      <c r="B4" s="10" t="s">
        <v>30</v>
      </c>
      <c r="C4" s="10" t="s">
        <v>31</v>
      </c>
      <c r="D4" s="10" t="s">
        <v>32</v>
      </c>
      <c r="E4" s="10" t="s">
        <v>33</v>
      </c>
      <c r="F4" s="10" t="s">
        <v>34</v>
      </c>
      <c r="G4" s="10" t="s">
        <v>35</v>
      </c>
      <c r="H4" s="10" t="s">
        <v>36</v>
      </c>
      <c r="I4" s="10" t="s">
        <v>37</v>
      </c>
    </row>
    <row r="5" customFormat="false" ht="34.5" hidden="false" customHeight="true" outlineLevel="0" collapsed="false">
      <c r="A5" s="11" t="s">
        <v>38</v>
      </c>
      <c r="B5" s="11" t="s">
        <v>39</v>
      </c>
      <c r="C5" s="11" t="s">
        <v>40</v>
      </c>
      <c r="D5" s="11" t="s">
        <v>41</v>
      </c>
      <c r="E5" s="12" t="s">
        <v>42</v>
      </c>
      <c r="F5" s="12" t="s">
        <v>43</v>
      </c>
      <c r="G5" s="13" t="s">
        <v>44</v>
      </c>
      <c r="H5" s="13"/>
      <c r="I5" s="13"/>
    </row>
    <row r="6" customFormat="false" ht="45.75" hidden="false" customHeight="true" outlineLevel="0" collapsed="false">
      <c r="A6" s="11" t="s">
        <v>38</v>
      </c>
      <c r="B6" s="11" t="s">
        <v>45</v>
      </c>
      <c r="C6" s="11" t="s">
        <v>46</v>
      </c>
      <c r="D6" s="11" t="s">
        <v>47</v>
      </c>
      <c r="E6" s="12" t="s">
        <v>48</v>
      </c>
      <c r="F6" s="12" t="s">
        <v>49</v>
      </c>
      <c r="G6" s="13" t="s">
        <v>44</v>
      </c>
      <c r="H6" s="13"/>
      <c r="I6" s="13"/>
    </row>
    <row r="7" customFormat="false" ht="168.75" hidden="false" customHeight="true" outlineLevel="0" collapsed="false">
      <c r="A7" s="11" t="s">
        <v>50</v>
      </c>
      <c r="B7" s="11" t="s">
        <v>51</v>
      </c>
      <c r="C7" s="11" t="s">
        <v>52</v>
      </c>
      <c r="D7" s="11"/>
      <c r="E7" s="12" t="s">
        <v>53</v>
      </c>
      <c r="F7" s="12" t="s">
        <v>54</v>
      </c>
      <c r="G7" s="13" t="s">
        <v>55</v>
      </c>
      <c r="H7" s="13"/>
      <c r="I7" s="13"/>
    </row>
    <row r="8" customFormat="false" ht="79.5" hidden="false" customHeight="true" outlineLevel="0" collapsed="false">
      <c r="A8" s="11" t="s">
        <v>56</v>
      </c>
      <c r="B8" s="11" t="s">
        <v>57</v>
      </c>
      <c r="C8" s="11" t="s">
        <v>58</v>
      </c>
      <c r="D8" s="11" t="s">
        <v>59</v>
      </c>
      <c r="E8" s="12" t="s">
        <v>60</v>
      </c>
      <c r="F8" s="12" t="s">
        <v>61</v>
      </c>
      <c r="G8" s="13" t="s">
        <v>44</v>
      </c>
      <c r="H8" s="13"/>
      <c r="I8" s="13"/>
    </row>
    <row r="9" customFormat="false" ht="79.5" hidden="false" customHeight="true" outlineLevel="0" collapsed="false">
      <c r="A9" s="11" t="s">
        <v>62</v>
      </c>
      <c r="B9" s="11" t="s">
        <v>63</v>
      </c>
      <c r="C9" s="11" t="s">
        <v>58</v>
      </c>
      <c r="D9" s="11" t="s">
        <v>64</v>
      </c>
      <c r="E9" s="12" t="s">
        <v>60</v>
      </c>
      <c r="F9" s="12" t="s">
        <v>65</v>
      </c>
      <c r="G9" s="13" t="s">
        <v>44</v>
      </c>
      <c r="H9" s="13"/>
      <c r="I9" s="13"/>
    </row>
    <row r="10" customFormat="false" ht="68.25" hidden="false" customHeight="true" outlineLevel="0" collapsed="false">
      <c r="A10" s="11" t="s">
        <v>66</v>
      </c>
      <c r="B10" s="11" t="s">
        <v>67</v>
      </c>
      <c r="C10" s="11" t="s">
        <v>68</v>
      </c>
      <c r="D10" s="11" t="s">
        <v>69</v>
      </c>
      <c r="E10" s="12" t="s">
        <v>60</v>
      </c>
      <c r="F10" s="12" t="s">
        <v>70</v>
      </c>
      <c r="G10" s="13" t="s">
        <v>44</v>
      </c>
      <c r="H10" s="13"/>
      <c r="I10" s="13"/>
    </row>
    <row r="11" customFormat="false" ht="102" hidden="false" customHeight="true" outlineLevel="0" collapsed="false">
      <c r="A11" s="11" t="s">
        <v>71</v>
      </c>
      <c r="B11" s="11" t="s">
        <v>72</v>
      </c>
      <c r="C11" s="11" t="s">
        <v>68</v>
      </c>
      <c r="D11" s="11" t="s">
        <v>69</v>
      </c>
      <c r="E11" s="12" t="s">
        <v>60</v>
      </c>
      <c r="F11" s="12" t="s">
        <v>73</v>
      </c>
      <c r="G11" s="13" t="s">
        <v>55</v>
      </c>
      <c r="H11" s="13"/>
      <c r="I11" s="13"/>
    </row>
    <row r="12" customFormat="false" ht="68.25" hidden="false" customHeight="true" outlineLevel="0" collapsed="false">
      <c r="A12" s="11" t="s">
        <v>74</v>
      </c>
      <c r="B12" s="11" t="s">
        <v>75</v>
      </c>
      <c r="C12" s="11" t="s">
        <v>68</v>
      </c>
      <c r="D12" s="11" t="s">
        <v>69</v>
      </c>
      <c r="E12" s="12" t="s">
        <v>60</v>
      </c>
      <c r="F12" s="12" t="s">
        <v>70</v>
      </c>
      <c r="G12" s="13" t="s">
        <v>55</v>
      </c>
      <c r="H12" s="13"/>
      <c r="I12" s="13"/>
    </row>
    <row r="13" customFormat="false" ht="68.25" hidden="false" customHeight="true" outlineLevel="0" collapsed="false">
      <c r="A13" s="11" t="s">
        <v>76</v>
      </c>
      <c r="B13" s="11" t="s">
        <v>77</v>
      </c>
      <c r="C13" s="11" t="s">
        <v>68</v>
      </c>
      <c r="D13" s="11" t="s">
        <v>69</v>
      </c>
      <c r="E13" s="12" t="s">
        <v>60</v>
      </c>
      <c r="F13" s="12" t="s">
        <v>70</v>
      </c>
      <c r="G13" s="13" t="s">
        <v>55</v>
      </c>
      <c r="H13" s="13"/>
      <c r="I13" s="13"/>
    </row>
    <row r="14" customFormat="false" ht="90.75" hidden="false" customHeight="true" outlineLevel="0" collapsed="false">
      <c r="A14" s="11" t="s">
        <v>78</v>
      </c>
      <c r="B14" s="11" t="s">
        <v>79</v>
      </c>
      <c r="C14" s="11" t="s">
        <v>68</v>
      </c>
      <c r="D14" s="11" t="s">
        <v>69</v>
      </c>
      <c r="E14" s="12" t="s">
        <v>60</v>
      </c>
      <c r="F14" s="12" t="s">
        <v>80</v>
      </c>
      <c r="G14" s="13" t="s">
        <v>55</v>
      </c>
      <c r="H14" s="13"/>
      <c r="I14" s="13"/>
    </row>
    <row r="15" customFormat="false" ht="102" hidden="false" customHeight="true" outlineLevel="0" collapsed="false">
      <c r="A15" s="11" t="s">
        <v>81</v>
      </c>
      <c r="B15" s="11" t="s">
        <v>82</v>
      </c>
      <c r="C15" s="11" t="s">
        <v>68</v>
      </c>
      <c r="D15" s="11" t="s">
        <v>69</v>
      </c>
      <c r="E15" s="12" t="s">
        <v>60</v>
      </c>
      <c r="F15" s="12" t="s">
        <v>83</v>
      </c>
      <c r="G15" s="13" t="s">
        <v>55</v>
      </c>
      <c r="H15" s="13"/>
      <c r="I15" s="13"/>
    </row>
    <row r="16" customFormat="false" ht="79.5" hidden="false" customHeight="true" outlineLevel="0" collapsed="false">
      <c r="A16" s="11" t="s">
        <v>84</v>
      </c>
      <c r="B16" s="11" t="s">
        <v>85</v>
      </c>
      <c r="C16" s="11" t="s">
        <v>68</v>
      </c>
      <c r="D16" s="11" t="s">
        <v>69</v>
      </c>
      <c r="E16" s="12" t="s">
        <v>60</v>
      </c>
      <c r="F16" s="12" t="s">
        <v>86</v>
      </c>
      <c r="G16" s="13" t="s">
        <v>55</v>
      </c>
      <c r="H16" s="13"/>
      <c r="I16" s="13"/>
    </row>
    <row r="17" customFormat="false" ht="68.25" hidden="false" customHeight="true" outlineLevel="0" collapsed="false">
      <c r="A17" s="11" t="s">
        <v>87</v>
      </c>
      <c r="B17" s="11" t="s">
        <v>88</v>
      </c>
      <c r="C17" s="11" t="s">
        <v>89</v>
      </c>
      <c r="D17" s="11" t="s">
        <v>69</v>
      </c>
      <c r="E17" s="12" t="s">
        <v>60</v>
      </c>
      <c r="F17" s="12" t="s">
        <v>70</v>
      </c>
      <c r="G17" s="13" t="s">
        <v>55</v>
      </c>
      <c r="H17" s="13"/>
      <c r="I17" s="13"/>
    </row>
    <row r="18" customFormat="false" ht="45.75" hidden="false" customHeight="true" outlineLevel="0" collapsed="false">
      <c r="A18" s="11" t="s">
        <v>90</v>
      </c>
      <c r="B18" s="11" t="s">
        <v>91</v>
      </c>
      <c r="C18" s="11" t="s">
        <v>92</v>
      </c>
      <c r="D18" s="11" t="s">
        <v>93</v>
      </c>
      <c r="E18" s="12"/>
      <c r="F18" s="12" t="s">
        <v>94</v>
      </c>
      <c r="G18" s="13" t="s">
        <v>44</v>
      </c>
      <c r="H18" s="13"/>
      <c r="I18" s="13"/>
    </row>
    <row r="19" customFormat="false" ht="45.75" hidden="false" customHeight="true" outlineLevel="0" collapsed="false">
      <c r="A19" s="11" t="s">
        <v>90</v>
      </c>
      <c r="B19" s="11" t="s">
        <v>95</v>
      </c>
      <c r="C19" s="11" t="s">
        <v>92</v>
      </c>
      <c r="D19" s="11" t="s">
        <v>96</v>
      </c>
      <c r="E19" s="12"/>
      <c r="F19" s="12" t="s">
        <v>94</v>
      </c>
      <c r="G19" s="13" t="s">
        <v>44</v>
      </c>
      <c r="H19" s="13"/>
      <c r="I19" s="13"/>
    </row>
    <row r="20" customFormat="false" ht="45.75" hidden="false" customHeight="true" outlineLevel="0" collapsed="false">
      <c r="A20" s="11" t="s">
        <v>90</v>
      </c>
      <c r="B20" s="11" t="s">
        <v>97</v>
      </c>
      <c r="C20" s="11" t="s">
        <v>92</v>
      </c>
      <c r="D20" s="11" t="s">
        <v>98</v>
      </c>
      <c r="E20" s="12"/>
      <c r="F20" s="12" t="s">
        <v>99</v>
      </c>
      <c r="G20" s="13" t="s">
        <v>44</v>
      </c>
      <c r="H20" s="13"/>
      <c r="I20" s="13"/>
    </row>
    <row r="21" customFormat="false" ht="45.75" hidden="false" customHeight="true" outlineLevel="0" collapsed="false">
      <c r="A21" s="11" t="s">
        <v>90</v>
      </c>
      <c r="B21" s="11" t="s">
        <v>100</v>
      </c>
      <c r="C21" s="11" t="s">
        <v>92</v>
      </c>
      <c r="D21" s="11" t="s">
        <v>101</v>
      </c>
      <c r="E21" s="12"/>
      <c r="F21" s="12" t="s">
        <v>94</v>
      </c>
      <c r="G21" s="13" t="s">
        <v>44</v>
      </c>
      <c r="H21" s="13"/>
      <c r="I21" s="13"/>
    </row>
    <row r="22" customFormat="false" ht="45.75" hidden="false" customHeight="true" outlineLevel="0" collapsed="false">
      <c r="A22" s="11" t="s">
        <v>90</v>
      </c>
      <c r="B22" s="11" t="s">
        <v>102</v>
      </c>
      <c r="C22" s="11" t="s">
        <v>92</v>
      </c>
      <c r="D22" s="11" t="s">
        <v>103</v>
      </c>
      <c r="E22" s="12"/>
      <c r="F22" s="12" t="s">
        <v>94</v>
      </c>
      <c r="G22" s="13" t="s">
        <v>44</v>
      </c>
      <c r="H22" s="13"/>
      <c r="I22" s="13"/>
    </row>
    <row r="23" customFormat="false" ht="45.75" hidden="false" customHeight="true" outlineLevel="0" collapsed="false">
      <c r="A23" s="11" t="s">
        <v>90</v>
      </c>
      <c r="B23" s="11" t="s">
        <v>104</v>
      </c>
      <c r="C23" s="11" t="s">
        <v>92</v>
      </c>
      <c r="D23" s="11" t="s">
        <v>105</v>
      </c>
      <c r="E23" s="12"/>
      <c r="F23" s="12" t="s">
        <v>94</v>
      </c>
      <c r="G23" s="13" t="s">
        <v>44</v>
      </c>
      <c r="H23" s="13"/>
      <c r="I23" s="13"/>
    </row>
    <row r="24" customFormat="false" ht="45.75" hidden="false" customHeight="true" outlineLevel="0" collapsed="false">
      <c r="A24" s="11" t="s">
        <v>90</v>
      </c>
      <c r="B24" s="11" t="s">
        <v>106</v>
      </c>
      <c r="C24" s="11" t="s">
        <v>92</v>
      </c>
      <c r="D24" s="11" t="s">
        <v>107</v>
      </c>
      <c r="E24" s="12"/>
      <c r="F24" s="12" t="s">
        <v>94</v>
      </c>
      <c r="G24" s="13" t="s">
        <v>44</v>
      </c>
      <c r="H24" s="13"/>
      <c r="I24" s="13"/>
    </row>
  </sheetData>
  <conditionalFormatting sqref="G5:G24">
    <cfRule type="cellIs" priority="2" operator="equal" aboveAverage="0" equalAverage="0" bottom="0" percent="0" rank="0" text="" dxfId="0">
      <formula>"Y"</formula>
    </cfRule>
    <cfRule type="cellIs" priority="3" operator="equal" aboveAverage="0" equalAverage="0" bottom="0" percent="0" rank="0" text="" dxfId="1">
      <formula>"N"</formula>
    </cfRule>
    <cfRule type="cellIs" priority="4" operator="equal" aboveAverage="0" equalAverage="0" bottom="0" percent="0" rank="0" text="" dxfId="2">
      <formula>"Query"</formula>
    </cfRule>
  </conditionalFormatting>
  <dataValidations count="1">
    <dataValidation allowBlank="true" error="Y if the loaded figure matches the source, N if it does not, Query if you could not find the document." errorStyle="stop" errorTitle="One of three answers" operator="between" prompt="Y, N or Query." promptTitle="Does the loaded value agree?" showDropDown="false" showErrorMessage="true" showInputMessage="true" sqref="G5:G24" type="list">
      <formula1>"Y,N,Query"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26"/>
    <col collapsed="false" customWidth="true" hidden="false" outlineLevel="0" max="3" min="3" style="1" width="22"/>
    <col collapsed="false" customWidth="true" hidden="false" outlineLevel="0" max="4" min="4" style="1" width="34"/>
    <col collapsed="false" customWidth="true" hidden="false" outlineLevel="0" max="5" min="5" style="1" width="52"/>
    <col collapsed="false" customWidth="true" hidden="false" outlineLevel="0" max="6" min="6" style="1" width="40"/>
    <col collapsed="false" customWidth="true" hidden="false" outlineLevel="0" max="7" min="7" style="1" width="12"/>
    <col collapsed="false" customWidth="true" hidden="false" outlineLevel="0" max="8" min="8" style="1" width="18"/>
    <col collapsed="false" customWidth="true" hidden="false" outlineLevel="0" max="9" min="9" style="1" width="26"/>
  </cols>
  <sheetData>
    <row r="1" customFormat="false" ht="17.25" hidden="false" customHeight="true" outlineLevel="0" collapsed="false">
      <c r="A1" s="8" t="s">
        <v>108</v>
      </c>
    </row>
    <row r="2" customFormat="false" ht="15" hidden="false" customHeight="true" outlineLevel="0" collapsed="false">
      <c r="A2" s="9" t="s">
        <v>109</v>
      </c>
    </row>
    <row r="4" customFormat="false" ht="15" hidden="false" customHeight="true" outlineLevel="0" collapsed="false">
      <c r="A4" s="10" t="s">
        <v>29</v>
      </c>
      <c r="B4" s="10" t="s">
        <v>30</v>
      </c>
      <c r="C4" s="10" t="s">
        <v>31</v>
      </c>
      <c r="D4" s="10" t="s">
        <v>32</v>
      </c>
      <c r="E4" s="10" t="s">
        <v>33</v>
      </c>
      <c r="F4" s="10" t="s">
        <v>110</v>
      </c>
      <c r="G4" s="10" t="s">
        <v>35</v>
      </c>
      <c r="H4" s="10" t="s">
        <v>36</v>
      </c>
      <c r="I4" s="10" t="s">
        <v>37</v>
      </c>
    </row>
    <row r="5" customFormat="false" ht="34.5" hidden="false" customHeight="true" outlineLevel="0" collapsed="false">
      <c r="A5" s="14" t="s">
        <v>111</v>
      </c>
      <c r="B5" s="14" t="s">
        <v>112</v>
      </c>
      <c r="C5" s="14" t="s">
        <v>113</v>
      </c>
      <c r="D5" s="14" t="s">
        <v>114</v>
      </c>
      <c r="E5" s="15" t="s">
        <v>115</v>
      </c>
      <c r="F5" s="15" t="s">
        <v>116</v>
      </c>
      <c r="G5" s="13"/>
      <c r="H5" s="13"/>
      <c r="I5" s="13"/>
    </row>
    <row r="6" customFormat="false" ht="34.5" hidden="false" customHeight="true" outlineLevel="0" collapsed="false">
      <c r="A6" s="14" t="s">
        <v>111</v>
      </c>
      <c r="B6" s="14" t="s">
        <v>117</v>
      </c>
      <c r="C6" s="14" t="s">
        <v>113</v>
      </c>
      <c r="D6" s="14" t="s">
        <v>118</v>
      </c>
      <c r="E6" s="15" t="s">
        <v>115</v>
      </c>
      <c r="F6" s="15" t="s">
        <v>116</v>
      </c>
      <c r="G6" s="13"/>
      <c r="H6" s="13"/>
      <c r="I6" s="13"/>
    </row>
    <row r="7" customFormat="false" ht="34.5" hidden="false" customHeight="true" outlineLevel="0" collapsed="false">
      <c r="A7" s="14" t="s">
        <v>111</v>
      </c>
      <c r="B7" s="14" t="s">
        <v>119</v>
      </c>
      <c r="C7" s="14" t="s">
        <v>113</v>
      </c>
      <c r="D7" s="14" t="s">
        <v>120</v>
      </c>
      <c r="E7" s="15" t="s">
        <v>115</v>
      </c>
      <c r="F7" s="15" t="s">
        <v>116</v>
      </c>
      <c r="G7" s="13"/>
      <c r="H7" s="13"/>
      <c r="I7" s="13"/>
    </row>
    <row r="8" customFormat="false" ht="34.5" hidden="false" customHeight="true" outlineLevel="0" collapsed="false">
      <c r="A8" s="14" t="s">
        <v>111</v>
      </c>
      <c r="B8" s="14" t="s">
        <v>51</v>
      </c>
      <c r="C8" s="14" t="s">
        <v>113</v>
      </c>
      <c r="D8" s="14" t="s">
        <v>120</v>
      </c>
      <c r="E8" s="15" t="s">
        <v>115</v>
      </c>
      <c r="F8" s="15" t="s">
        <v>116</v>
      </c>
      <c r="G8" s="13"/>
      <c r="H8" s="13"/>
      <c r="I8" s="13"/>
    </row>
    <row r="9" customFormat="false" ht="15" hidden="false" customHeight="true" outlineLevel="0" collapsed="false">
      <c r="A9" s="14" t="s">
        <v>121</v>
      </c>
      <c r="B9" s="14" t="s">
        <v>122</v>
      </c>
      <c r="C9" s="14" t="s">
        <v>123</v>
      </c>
      <c r="D9" s="14" t="s">
        <v>124</v>
      </c>
      <c r="E9" s="15" t="s">
        <v>125</v>
      </c>
      <c r="F9" s="15"/>
      <c r="G9" s="13"/>
      <c r="H9" s="13"/>
      <c r="I9" s="13"/>
    </row>
    <row r="10" customFormat="false" ht="23.25" hidden="false" customHeight="true" outlineLevel="0" collapsed="false">
      <c r="A10" s="14" t="s">
        <v>126</v>
      </c>
      <c r="B10" s="14" t="s">
        <v>127</v>
      </c>
      <c r="C10" s="14" t="s">
        <v>128</v>
      </c>
      <c r="D10" s="14" t="s">
        <v>129</v>
      </c>
      <c r="E10" s="15" t="s">
        <v>130</v>
      </c>
      <c r="F10" s="15" t="s">
        <v>131</v>
      </c>
      <c r="G10" s="13"/>
      <c r="H10" s="13"/>
      <c r="I10" s="13"/>
    </row>
    <row r="11" customFormat="false" ht="23.25" hidden="false" customHeight="true" outlineLevel="0" collapsed="false">
      <c r="A11" s="14" t="s">
        <v>126</v>
      </c>
      <c r="B11" s="14" t="s">
        <v>132</v>
      </c>
      <c r="C11" s="14" t="s">
        <v>128</v>
      </c>
      <c r="D11" s="14" t="s">
        <v>133</v>
      </c>
      <c r="E11" s="15" t="s">
        <v>130</v>
      </c>
      <c r="F11" s="15" t="s">
        <v>131</v>
      </c>
      <c r="G11" s="13"/>
      <c r="H11" s="13"/>
      <c r="I11" s="13"/>
    </row>
    <row r="12" customFormat="false" ht="23.25" hidden="false" customHeight="true" outlineLevel="0" collapsed="false">
      <c r="A12" s="14" t="s">
        <v>126</v>
      </c>
      <c r="B12" s="14" t="s">
        <v>134</v>
      </c>
      <c r="C12" s="14" t="s">
        <v>128</v>
      </c>
      <c r="D12" s="14" t="s">
        <v>135</v>
      </c>
      <c r="E12" s="15" t="s">
        <v>130</v>
      </c>
      <c r="F12" s="15" t="s">
        <v>131</v>
      </c>
      <c r="G12" s="13"/>
      <c r="H12" s="13"/>
      <c r="I12" s="13"/>
    </row>
    <row r="13" customFormat="false" ht="23.25" hidden="false" customHeight="true" outlineLevel="0" collapsed="false">
      <c r="A13" s="14" t="s">
        <v>126</v>
      </c>
      <c r="B13" s="14" t="s">
        <v>136</v>
      </c>
      <c r="C13" s="14" t="s">
        <v>128</v>
      </c>
      <c r="D13" s="14" t="s">
        <v>137</v>
      </c>
      <c r="E13" s="15" t="s">
        <v>130</v>
      </c>
      <c r="F13" s="15" t="s">
        <v>131</v>
      </c>
      <c r="G13" s="13"/>
      <c r="H13" s="13"/>
      <c r="I13" s="13"/>
    </row>
    <row r="14" customFormat="false" ht="23.25" hidden="false" customHeight="true" outlineLevel="0" collapsed="false">
      <c r="A14" s="14" t="s">
        <v>126</v>
      </c>
      <c r="B14" s="14" t="s">
        <v>138</v>
      </c>
      <c r="C14" s="14" t="s">
        <v>128</v>
      </c>
      <c r="D14" s="14" t="s">
        <v>139</v>
      </c>
      <c r="E14" s="15" t="s">
        <v>130</v>
      </c>
      <c r="F14" s="15" t="s">
        <v>131</v>
      </c>
      <c r="G14" s="13"/>
      <c r="H14" s="13"/>
      <c r="I14" s="13"/>
    </row>
    <row r="15" customFormat="false" ht="23.25" hidden="false" customHeight="true" outlineLevel="0" collapsed="false">
      <c r="A15" s="14" t="s">
        <v>126</v>
      </c>
      <c r="B15" s="14" t="s">
        <v>140</v>
      </c>
      <c r="C15" s="14" t="s">
        <v>128</v>
      </c>
      <c r="D15" s="14" t="s">
        <v>141</v>
      </c>
      <c r="E15" s="15" t="s">
        <v>130</v>
      </c>
      <c r="F15" s="15" t="s">
        <v>131</v>
      </c>
      <c r="G15" s="13"/>
      <c r="H15" s="13"/>
      <c r="I15" s="13"/>
    </row>
    <row r="16" customFormat="false" ht="23.25" hidden="false" customHeight="true" outlineLevel="0" collapsed="false">
      <c r="A16" s="14" t="s">
        <v>126</v>
      </c>
      <c r="B16" s="14" t="s">
        <v>142</v>
      </c>
      <c r="C16" s="14" t="s">
        <v>128</v>
      </c>
      <c r="D16" s="14" t="s">
        <v>143</v>
      </c>
      <c r="E16" s="15" t="s">
        <v>130</v>
      </c>
      <c r="F16" s="15" t="s">
        <v>131</v>
      </c>
      <c r="G16" s="13"/>
      <c r="H16" s="13"/>
      <c r="I16" s="13"/>
    </row>
    <row r="17" customFormat="false" ht="23.25" hidden="false" customHeight="true" outlineLevel="0" collapsed="false">
      <c r="A17" s="14" t="s">
        <v>144</v>
      </c>
      <c r="B17" s="14" t="s">
        <v>145</v>
      </c>
      <c r="C17" s="14" t="s">
        <v>146</v>
      </c>
      <c r="D17" s="14" t="s">
        <v>147</v>
      </c>
      <c r="E17" s="15" t="s">
        <v>130</v>
      </c>
      <c r="F17" s="15" t="s">
        <v>131</v>
      </c>
      <c r="G17" s="13"/>
      <c r="H17" s="13"/>
      <c r="I17" s="13"/>
    </row>
    <row r="18" customFormat="false" ht="23.25" hidden="false" customHeight="true" outlineLevel="0" collapsed="false">
      <c r="A18" s="14" t="s">
        <v>144</v>
      </c>
      <c r="B18" s="14" t="s">
        <v>148</v>
      </c>
      <c r="C18" s="14" t="s">
        <v>146</v>
      </c>
      <c r="D18" s="14" t="s">
        <v>149</v>
      </c>
      <c r="E18" s="15" t="s">
        <v>130</v>
      </c>
      <c r="F18" s="15" t="s">
        <v>131</v>
      </c>
      <c r="G18" s="13"/>
      <c r="H18" s="13"/>
      <c r="I18" s="13"/>
    </row>
    <row r="19" customFormat="false" ht="23.25" hidden="false" customHeight="true" outlineLevel="0" collapsed="false">
      <c r="A19" s="14" t="s">
        <v>144</v>
      </c>
      <c r="B19" s="14" t="s">
        <v>150</v>
      </c>
      <c r="C19" s="14" t="s">
        <v>146</v>
      </c>
      <c r="D19" s="14" t="s">
        <v>151</v>
      </c>
      <c r="E19" s="15" t="s">
        <v>130</v>
      </c>
      <c r="F19" s="15" t="s">
        <v>131</v>
      </c>
      <c r="G19" s="13"/>
      <c r="H19" s="13"/>
      <c r="I19" s="13"/>
    </row>
    <row r="20" customFormat="false" ht="23.25" hidden="false" customHeight="true" outlineLevel="0" collapsed="false">
      <c r="A20" s="14" t="s">
        <v>152</v>
      </c>
      <c r="B20" s="14" t="s">
        <v>122</v>
      </c>
      <c r="C20" s="14" t="s">
        <v>153</v>
      </c>
      <c r="D20" s="14" t="s">
        <v>154</v>
      </c>
      <c r="E20" s="15" t="s">
        <v>155</v>
      </c>
      <c r="F20" s="15" t="s">
        <v>156</v>
      </c>
      <c r="G20" s="13"/>
      <c r="H20" s="13"/>
      <c r="I20" s="13"/>
    </row>
    <row r="21" customFormat="false" ht="23.25" hidden="false" customHeight="true" outlineLevel="0" collapsed="false">
      <c r="A21" s="14" t="s">
        <v>38</v>
      </c>
      <c r="B21" s="14" t="s">
        <v>157</v>
      </c>
      <c r="C21" s="14" t="s">
        <v>158</v>
      </c>
      <c r="D21" s="14" t="s">
        <v>159</v>
      </c>
      <c r="E21" s="15" t="s">
        <v>160</v>
      </c>
      <c r="F21" s="15"/>
      <c r="G21" s="13"/>
      <c r="H21" s="13"/>
      <c r="I21" s="13"/>
    </row>
    <row r="22" customFormat="false" ht="23.25" hidden="false" customHeight="true" outlineLevel="0" collapsed="false">
      <c r="A22" s="14" t="s">
        <v>38</v>
      </c>
      <c r="B22" s="14" t="s">
        <v>157</v>
      </c>
      <c r="C22" s="14" t="s">
        <v>161</v>
      </c>
      <c r="D22" s="14" t="s">
        <v>162</v>
      </c>
      <c r="E22" s="15" t="s">
        <v>163</v>
      </c>
      <c r="F22" s="15"/>
      <c r="G22" s="13"/>
      <c r="H22" s="13"/>
      <c r="I22" s="13"/>
    </row>
    <row r="23" customFormat="false" ht="23.25" hidden="false" customHeight="true" outlineLevel="0" collapsed="false">
      <c r="A23" s="14" t="s">
        <v>38</v>
      </c>
      <c r="B23" s="14" t="s">
        <v>39</v>
      </c>
      <c r="C23" s="14" t="s">
        <v>40</v>
      </c>
      <c r="D23" s="14" t="s">
        <v>41</v>
      </c>
      <c r="E23" s="15" t="s">
        <v>42</v>
      </c>
      <c r="F23" s="15"/>
      <c r="G23" s="13"/>
      <c r="H23" s="13"/>
      <c r="I23" s="13"/>
    </row>
    <row r="24" customFormat="false" ht="45.75" hidden="false" customHeight="true" outlineLevel="0" collapsed="false">
      <c r="A24" s="14" t="s">
        <v>38</v>
      </c>
      <c r="B24" s="14" t="s">
        <v>164</v>
      </c>
      <c r="C24" s="14" t="s">
        <v>165</v>
      </c>
      <c r="D24" s="14" t="s">
        <v>166</v>
      </c>
      <c r="E24" s="15" t="s">
        <v>167</v>
      </c>
      <c r="F24" s="15" t="s">
        <v>168</v>
      </c>
      <c r="G24" s="13"/>
      <c r="H24" s="13"/>
      <c r="I24" s="13"/>
    </row>
    <row r="25" customFormat="false" ht="45.75" hidden="false" customHeight="true" outlineLevel="0" collapsed="false">
      <c r="A25" s="14" t="s">
        <v>38</v>
      </c>
      <c r="B25" s="14" t="s">
        <v>169</v>
      </c>
      <c r="C25" s="14" t="s">
        <v>165</v>
      </c>
      <c r="D25" s="14" t="s">
        <v>170</v>
      </c>
      <c r="E25" s="15" t="s">
        <v>171</v>
      </c>
      <c r="F25" s="15" t="s">
        <v>172</v>
      </c>
      <c r="G25" s="13"/>
      <c r="H25" s="13"/>
      <c r="I25" s="13"/>
    </row>
    <row r="26" customFormat="false" ht="15" hidden="false" customHeight="true" outlineLevel="0" collapsed="false">
      <c r="A26" s="14" t="s">
        <v>38</v>
      </c>
      <c r="B26" s="14" t="s">
        <v>173</v>
      </c>
      <c r="C26" s="14" t="s">
        <v>40</v>
      </c>
      <c r="D26" s="14" t="s">
        <v>174</v>
      </c>
      <c r="E26" s="15" t="s">
        <v>175</v>
      </c>
      <c r="F26" s="15"/>
      <c r="G26" s="13"/>
      <c r="H26" s="13"/>
      <c r="I26" s="13"/>
    </row>
    <row r="27" customFormat="false" ht="15" hidden="false" customHeight="true" outlineLevel="0" collapsed="false">
      <c r="A27" s="14" t="s">
        <v>38</v>
      </c>
      <c r="B27" s="14" t="s">
        <v>176</v>
      </c>
      <c r="C27" s="14" t="s">
        <v>40</v>
      </c>
      <c r="D27" s="14" t="s">
        <v>177</v>
      </c>
      <c r="E27" s="15" t="s">
        <v>178</v>
      </c>
      <c r="F27" s="15"/>
      <c r="G27" s="13"/>
      <c r="H27" s="13"/>
      <c r="I27" s="13"/>
    </row>
    <row r="28" customFormat="false" ht="15" hidden="false" customHeight="true" outlineLevel="0" collapsed="false">
      <c r="A28" s="14" t="s">
        <v>38</v>
      </c>
      <c r="B28" s="14" t="s">
        <v>179</v>
      </c>
      <c r="C28" s="14" t="s">
        <v>180</v>
      </c>
      <c r="D28" s="14" t="s">
        <v>177</v>
      </c>
      <c r="E28" s="15" t="s">
        <v>181</v>
      </c>
      <c r="F28" s="15"/>
      <c r="G28" s="13"/>
      <c r="H28" s="13"/>
      <c r="I28" s="13"/>
    </row>
    <row r="29" customFormat="false" ht="15" hidden="false" customHeight="true" outlineLevel="0" collapsed="false">
      <c r="A29" s="14" t="s">
        <v>38</v>
      </c>
      <c r="B29" s="14" t="s">
        <v>182</v>
      </c>
      <c r="C29" s="14" t="s">
        <v>180</v>
      </c>
      <c r="D29" s="14" t="s">
        <v>177</v>
      </c>
      <c r="E29" s="15" t="s">
        <v>183</v>
      </c>
      <c r="F29" s="15"/>
      <c r="G29" s="13"/>
      <c r="H29" s="13"/>
      <c r="I29" s="13"/>
    </row>
    <row r="30" customFormat="false" ht="34.5" hidden="false" customHeight="true" outlineLevel="0" collapsed="false">
      <c r="A30" s="14" t="s">
        <v>38</v>
      </c>
      <c r="B30" s="14" t="s">
        <v>45</v>
      </c>
      <c r="C30" s="14" t="s">
        <v>46</v>
      </c>
      <c r="D30" s="14" t="s">
        <v>47</v>
      </c>
      <c r="E30" s="15" t="s">
        <v>48</v>
      </c>
      <c r="F30" s="15"/>
      <c r="G30" s="13"/>
      <c r="H30" s="13"/>
      <c r="I30" s="13"/>
    </row>
    <row r="31" customFormat="false" ht="15" hidden="false" customHeight="true" outlineLevel="0" collapsed="false">
      <c r="A31" s="14" t="s">
        <v>38</v>
      </c>
      <c r="B31" s="14" t="s">
        <v>184</v>
      </c>
      <c r="C31" s="14" t="s">
        <v>40</v>
      </c>
      <c r="D31" s="14" t="s">
        <v>185</v>
      </c>
      <c r="E31" s="15" t="s">
        <v>186</v>
      </c>
      <c r="F31" s="15"/>
      <c r="G31" s="13"/>
      <c r="H31" s="13"/>
      <c r="I31" s="13"/>
    </row>
  </sheetData>
  <conditionalFormatting sqref="G5:G31">
    <cfRule type="cellIs" priority="2" operator="equal" aboveAverage="0" equalAverage="0" bottom="0" percent="0" rank="0" text="" dxfId="0">
      <formula>"Y"</formula>
    </cfRule>
    <cfRule type="cellIs" priority="3" operator="equal" aboveAverage="0" equalAverage="0" bottom="0" percent="0" rank="0" text="" dxfId="1">
      <formula>"N"</formula>
    </cfRule>
    <cfRule type="cellIs" priority="4" operator="equal" aboveAverage="0" equalAverage="0" bottom="0" percent="0" rank="0" text="" dxfId="2">
      <formula>"Query"</formula>
    </cfRule>
  </conditionalFormatting>
  <dataValidations count="1">
    <dataValidation allowBlank="true" error="Y if the loaded figure matches the source, N if it does not, Query if you could not find the document." errorStyle="stop" errorTitle="One of three answers" operator="between" prompt="Y, N or Query." promptTitle="Does the loaded value agree?" showDropDown="false" showErrorMessage="true" showInputMessage="true" sqref="G5:G31" type="list">
      <formula1>"Y,N,Query"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20"/>
    <col collapsed="false" customWidth="true" hidden="false" outlineLevel="0" max="3" min="3" style="1" width="40"/>
    <col collapsed="false" customWidth="true" hidden="false" outlineLevel="0" max="4" min="4" style="1" width="16"/>
    <col collapsed="false" customWidth="true" hidden="false" outlineLevel="0" max="5" min="5" style="1" width="46"/>
    <col collapsed="false" customWidth="true" hidden="false" outlineLevel="0" max="6" min="6" style="1" width="60"/>
    <col collapsed="false" customWidth="true" hidden="false" outlineLevel="0" max="7" min="7" style="1" width="12"/>
    <col collapsed="false" customWidth="true" hidden="false" outlineLevel="0" max="8" min="8" style="1" width="18"/>
    <col collapsed="false" customWidth="true" hidden="false" outlineLevel="0" max="9" min="9" style="1" width="26"/>
  </cols>
  <sheetData>
    <row r="1" customFormat="false" ht="17.25" hidden="false" customHeight="true" outlineLevel="0" collapsed="false">
      <c r="A1" s="8" t="s">
        <v>187</v>
      </c>
    </row>
    <row r="2" customFormat="false" ht="15" hidden="false" customHeight="true" outlineLevel="0" collapsed="false">
      <c r="A2" s="9" t="s">
        <v>188</v>
      </c>
    </row>
    <row r="4" customFormat="false" ht="15" hidden="false" customHeight="true" outlineLevel="0" collapsed="false">
      <c r="A4" s="10" t="s">
        <v>189</v>
      </c>
      <c r="B4" s="10" t="s">
        <v>190</v>
      </c>
      <c r="C4" s="10" t="s">
        <v>31</v>
      </c>
      <c r="D4" s="10" t="s">
        <v>32</v>
      </c>
      <c r="E4" s="10" t="s">
        <v>33</v>
      </c>
      <c r="F4" s="10" t="s">
        <v>191</v>
      </c>
      <c r="G4" s="10" t="s">
        <v>35</v>
      </c>
      <c r="H4" s="10" t="s">
        <v>36</v>
      </c>
      <c r="I4" s="10" t="s">
        <v>37</v>
      </c>
    </row>
    <row r="5" customFormat="false" ht="124.5" hidden="false" customHeight="true" outlineLevel="0" collapsed="false">
      <c r="A5" s="16" t="s">
        <v>192</v>
      </c>
      <c r="B5" s="16" t="s">
        <v>193</v>
      </c>
      <c r="C5" s="16" t="s">
        <v>194</v>
      </c>
      <c r="D5" s="16" t="s">
        <v>195</v>
      </c>
      <c r="E5" s="17" t="s">
        <v>196</v>
      </c>
      <c r="F5" s="17" t="s">
        <v>197</v>
      </c>
      <c r="G5" s="13"/>
      <c r="H5" s="13"/>
      <c r="I5" s="13"/>
    </row>
    <row r="6" customFormat="false" ht="124.5" hidden="false" customHeight="true" outlineLevel="0" collapsed="false">
      <c r="A6" s="16" t="s">
        <v>192</v>
      </c>
      <c r="B6" s="16" t="s">
        <v>193</v>
      </c>
      <c r="C6" s="16" t="s">
        <v>198</v>
      </c>
      <c r="D6" s="16" t="s">
        <v>199</v>
      </c>
      <c r="E6" s="17" t="s">
        <v>196</v>
      </c>
      <c r="F6" s="17" t="s">
        <v>197</v>
      </c>
      <c r="G6" s="13"/>
      <c r="H6" s="13"/>
      <c r="I6" s="13"/>
    </row>
    <row r="7" customFormat="false" ht="124.5" hidden="false" customHeight="true" outlineLevel="0" collapsed="false">
      <c r="A7" s="16" t="s">
        <v>192</v>
      </c>
      <c r="B7" s="16" t="s">
        <v>193</v>
      </c>
      <c r="C7" s="16" t="s">
        <v>200</v>
      </c>
      <c r="D7" s="16" t="s">
        <v>201</v>
      </c>
      <c r="E7" s="17" t="s">
        <v>196</v>
      </c>
      <c r="F7" s="17" t="s">
        <v>197</v>
      </c>
      <c r="G7" s="13"/>
      <c r="H7" s="13"/>
      <c r="I7" s="13"/>
    </row>
    <row r="8" customFormat="false" ht="124.5" hidden="false" customHeight="true" outlineLevel="0" collapsed="false">
      <c r="A8" s="16" t="s">
        <v>192</v>
      </c>
      <c r="B8" s="16" t="s">
        <v>193</v>
      </c>
      <c r="C8" s="16" t="s">
        <v>202</v>
      </c>
      <c r="D8" s="16" t="s">
        <v>203</v>
      </c>
      <c r="E8" s="17" t="s">
        <v>196</v>
      </c>
      <c r="F8" s="17" t="s">
        <v>197</v>
      </c>
      <c r="G8" s="13"/>
      <c r="H8" s="13"/>
      <c r="I8" s="13"/>
    </row>
    <row r="9" customFormat="false" ht="124.5" hidden="false" customHeight="true" outlineLevel="0" collapsed="false">
      <c r="A9" s="16" t="s">
        <v>192</v>
      </c>
      <c r="B9" s="16" t="s">
        <v>193</v>
      </c>
      <c r="C9" s="16" t="s">
        <v>204</v>
      </c>
      <c r="D9" s="16" t="s">
        <v>205</v>
      </c>
      <c r="E9" s="17" t="s">
        <v>196</v>
      </c>
      <c r="F9" s="17" t="s">
        <v>197</v>
      </c>
      <c r="G9" s="13"/>
      <c r="H9" s="13"/>
      <c r="I9" s="13"/>
    </row>
    <row r="10" customFormat="false" ht="124.5" hidden="false" customHeight="true" outlineLevel="0" collapsed="false">
      <c r="A10" s="16" t="s">
        <v>192</v>
      </c>
      <c r="B10" s="16" t="s">
        <v>193</v>
      </c>
      <c r="C10" s="16" t="s">
        <v>206</v>
      </c>
      <c r="D10" s="16" t="s">
        <v>205</v>
      </c>
      <c r="E10" s="17" t="s">
        <v>196</v>
      </c>
      <c r="F10" s="17" t="s">
        <v>197</v>
      </c>
      <c r="G10" s="13"/>
      <c r="H10" s="13"/>
      <c r="I10" s="13"/>
    </row>
    <row r="11" customFormat="false" ht="124.5" hidden="false" customHeight="true" outlineLevel="0" collapsed="false">
      <c r="A11" s="16" t="s">
        <v>192</v>
      </c>
      <c r="B11" s="16" t="s">
        <v>193</v>
      </c>
      <c r="C11" s="16" t="s">
        <v>207</v>
      </c>
      <c r="D11" s="16" t="s">
        <v>208</v>
      </c>
      <c r="E11" s="17" t="s">
        <v>196</v>
      </c>
      <c r="F11" s="17" t="s">
        <v>197</v>
      </c>
      <c r="G11" s="13"/>
      <c r="H11" s="13"/>
      <c r="I11" s="13"/>
    </row>
    <row r="12" customFormat="false" ht="124.5" hidden="false" customHeight="true" outlineLevel="0" collapsed="false">
      <c r="A12" s="16" t="s">
        <v>192</v>
      </c>
      <c r="B12" s="16" t="s">
        <v>193</v>
      </c>
      <c r="C12" s="16" t="s">
        <v>209</v>
      </c>
      <c r="D12" s="16" t="s">
        <v>210</v>
      </c>
      <c r="E12" s="17" t="s">
        <v>196</v>
      </c>
      <c r="F12" s="17" t="s">
        <v>197</v>
      </c>
      <c r="G12" s="13"/>
      <c r="H12" s="13"/>
      <c r="I12" s="13"/>
    </row>
    <row r="13" customFormat="false" ht="124.5" hidden="false" customHeight="true" outlineLevel="0" collapsed="false">
      <c r="A13" s="16" t="s">
        <v>192</v>
      </c>
      <c r="B13" s="16" t="s">
        <v>193</v>
      </c>
      <c r="C13" s="16" t="s">
        <v>211</v>
      </c>
      <c r="D13" s="16" t="s">
        <v>212</v>
      </c>
      <c r="E13" s="17" t="s">
        <v>196</v>
      </c>
      <c r="F13" s="17" t="s">
        <v>197</v>
      </c>
      <c r="G13" s="13"/>
      <c r="H13" s="13"/>
      <c r="I13" s="13"/>
    </row>
    <row r="14" customFormat="false" ht="124.5" hidden="false" customHeight="true" outlineLevel="0" collapsed="false">
      <c r="A14" s="16" t="s">
        <v>192</v>
      </c>
      <c r="B14" s="16" t="s">
        <v>193</v>
      </c>
      <c r="C14" s="16" t="s">
        <v>213</v>
      </c>
      <c r="D14" s="16" t="s">
        <v>214</v>
      </c>
      <c r="E14" s="17" t="s">
        <v>196</v>
      </c>
      <c r="F14" s="17" t="s">
        <v>197</v>
      </c>
      <c r="G14" s="13"/>
      <c r="H14" s="13"/>
      <c r="I14" s="13"/>
    </row>
    <row r="15" customFormat="false" ht="124.5" hidden="false" customHeight="true" outlineLevel="0" collapsed="false">
      <c r="A15" s="16" t="s">
        <v>192</v>
      </c>
      <c r="B15" s="16" t="s">
        <v>193</v>
      </c>
      <c r="C15" s="16" t="s">
        <v>215</v>
      </c>
      <c r="D15" s="16" t="s">
        <v>216</v>
      </c>
      <c r="E15" s="17" t="s">
        <v>196</v>
      </c>
      <c r="F15" s="17" t="s">
        <v>197</v>
      </c>
      <c r="G15" s="13"/>
      <c r="H15" s="13"/>
      <c r="I15" s="13"/>
    </row>
    <row r="16" customFormat="false" ht="124.5" hidden="false" customHeight="true" outlineLevel="0" collapsed="false">
      <c r="A16" s="16" t="s">
        <v>192</v>
      </c>
      <c r="B16" s="16" t="s">
        <v>193</v>
      </c>
      <c r="C16" s="16" t="s">
        <v>217</v>
      </c>
      <c r="D16" s="16" t="s">
        <v>218</v>
      </c>
      <c r="E16" s="17" t="s">
        <v>196</v>
      </c>
      <c r="F16" s="17" t="s">
        <v>197</v>
      </c>
      <c r="G16" s="13"/>
      <c r="H16" s="13"/>
      <c r="I16" s="13"/>
    </row>
    <row r="17" customFormat="false" ht="124.5" hidden="false" customHeight="true" outlineLevel="0" collapsed="false">
      <c r="A17" s="16" t="s">
        <v>192</v>
      </c>
      <c r="B17" s="16" t="s">
        <v>193</v>
      </c>
      <c r="C17" s="16" t="s">
        <v>219</v>
      </c>
      <c r="D17" s="16" t="s">
        <v>220</v>
      </c>
      <c r="E17" s="17" t="s">
        <v>196</v>
      </c>
      <c r="F17" s="17" t="s">
        <v>197</v>
      </c>
      <c r="G17" s="13"/>
      <c r="H17" s="13"/>
      <c r="I17" s="13"/>
    </row>
    <row r="18" customFormat="false" ht="124.5" hidden="false" customHeight="true" outlineLevel="0" collapsed="false">
      <c r="A18" s="16" t="s">
        <v>192</v>
      </c>
      <c r="B18" s="16" t="s">
        <v>193</v>
      </c>
      <c r="C18" s="16" t="s">
        <v>221</v>
      </c>
      <c r="D18" s="16" t="s">
        <v>222</v>
      </c>
      <c r="E18" s="17" t="s">
        <v>196</v>
      </c>
      <c r="F18" s="17" t="s">
        <v>197</v>
      </c>
      <c r="G18" s="13"/>
      <c r="H18" s="13"/>
      <c r="I18" s="13"/>
    </row>
    <row r="19" customFormat="false" ht="124.5" hidden="false" customHeight="true" outlineLevel="0" collapsed="false">
      <c r="A19" s="16" t="s">
        <v>192</v>
      </c>
      <c r="B19" s="16" t="s">
        <v>193</v>
      </c>
      <c r="C19" s="16" t="s">
        <v>223</v>
      </c>
      <c r="D19" s="16" t="s">
        <v>224</v>
      </c>
      <c r="E19" s="17" t="s">
        <v>196</v>
      </c>
      <c r="F19" s="17" t="s">
        <v>197</v>
      </c>
      <c r="G19" s="13"/>
      <c r="H19" s="13"/>
      <c r="I19" s="13"/>
    </row>
    <row r="20" customFormat="false" ht="124.5" hidden="false" customHeight="true" outlineLevel="0" collapsed="false">
      <c r="A20" s="16" t="s">
        <v>192</v>
      </c>
      <c r="B20" s="16" t="s">
        <v>193</v>
      </c>
      <c r="C20" s="16" t="s">
        <v>225</v>
      </c>
      <c r="D20" s="16" t="s">
        <v>224</v>
      </c>
      <c r="E20" s="17" t="s">
        <v>196</v>
      </c>
      <c r="F20" s="17" t="s">
        <v>197</v>
      </c>
      <c r="G20" s="13"/>
      <c r="H20" s="13"/>
      <c r="I20" s="13"/>
    </row>
    <row r="21" customFormat="false" ht="124.5" hidden="false" customHeight="true" outlineLevel="0" collapsed="false">
      <c r="A21" s="16" t="s">
        <v>192</v>
      </c>
      <c r="B21" s="16" t="s">
        <v>193</v>
      </c>
      <c r="C21" s="16" t="s">
        <v>226</v>
      </c>
      <c r="D21" s="16" t="s">
        <v>224</v>
      </c>
      <c r="E21" s="17" t="s">
        <v>196</v>
      </c>
      <c r="F21" s="17" t="s">
        <v>197</v>
      </c>
      <c r="G21" s="13"/>
      <c r="H21" s="13"/>
      <c r="I21" s="13"/>
    </row>
    <row r="22" customFormat="false" ht="124.5" hidden="false" customHeight="true" outlineLevel="0" collapsed="false">
      <c r="A22" s="16" t="s">
        <v>192</v>
      </c>
      <c r="B22" s="16" t="s">
        <v>193</v>
      </c>
      <c r="C22" s="16" t="s">
        <v>227</v>
      </c>
      <c r="D22" s="16" t="s">
        <v>228</v>
      </c>
      <c r="E22" s="17" t="s">
        <v>196</v>
      </c>
      <c r="F22" s="17" t="s">
        <v>197</v>
      </c>
      <c r="G22" s="13"/>
      <c r="H22" s="13"/>
      <c r="I22" s="13"/>
    </row>
    <row r="23" customFormat="false" ht="124.5" hidden="false" customHeight="true" outlineLevel="0" collapsed="false">
      <c r="A23" s="16" t="s">
        <v>192</v>
      </c>
      <c r="B23" s="16" t="s">
        <v>193</v>
      </c>
      <c r="C23" s="16" t="s">
        <v>229</v>
      </c>
      <c r="D23" s="16" t="s">
        <v>212</v>
      </c>
      <c r="E23" s="17" t="s">
        <v>196</v>
      </c>
      <c r="F23" s="17" t="s">
        <v>197</v>
      </c>
      <c r="G23" s="13"/>
      <c r="H23" s="13"/>
      <c r="I23" s="13"/>
    </row>
    <row r="24" customFormat="false" ht="124.5" hidden="false" customHeight="true" outlineLevel="0" collapsed="false">
      <c r="A24" s="16" t="s">
        <v>192</v>
      </c>
      <c r="B24" s="16" t="s">
        <v>193</v>
      </c>
      <c r="C24" s="16" t="s">
        <v>230</v>
      </c>
      <c r="D24" s="16" t="s">
        <v>224</v>
      </c>
      <c r="E24" s="17" t="s">
        <v>196</v>
      </c>
      <c r="F24" s="17" t="s">
        <v>197</v>
      </c>
      <c r="G24" s="13"/>
      <c r="H24" s="13"/>
      <c r="I24" s="13"/>
    </row>
    <row r="25" customFormat="false" ht="124.5" hidden="false" customHeight="true" outlineLevel="0" collapsed="false">
      <c r="A25" s="16" t="s">
        <v>192</v>
      </c>
      <c r="B25" s="16" t="s">
        <v>193</v>
      </c>
      <c r="C25" s="16" t="s">
        <v>231</v>
      </c>
      <c r="D25" s="16" t="s">
        <v>210</v>
      </c>
      <c r="E25" s="17" t="s">
        <v>196</v>
      </c>
      <c r="F25" s="17" t="s">
        <v>197</v>
      </c>
      <c r="G25" s="13"/>
      <c r="H25" s="13"/>
      <c r="I25" s="13"/>
    </row>
    <row r="26" customFormat="false" ht="113.25" hidden="false" customHeight="true" outlineLevel="0" collapsed="false">
      <c r="A26" s="16" t="s">
        <v>192</v>
      </c>
      <c r="B26" s="16" t="s">
        <v>51</v>
      </c>
      <c r="C26" s="16" t="s">
        <v>194</v>
      </c>
      <c r="D26" s="16" t="s">
        <v>195</v>
      </c>
      <c r="E26" s="17" t="s">
        <v>232</v>
      </c>
      <c r="F26" s="17" t="s">
        <v>233</v>
      </c>
      <c r="G26" s="13"/>
      <c r="H26" s="13"/>
      <c r="I26" s="13"/>
    </row>
    <row r="27" customFormat="false" ht="113.25" hidden="false" customHeight="true" outlineLevel="0" collapsed="false">
      <c r="A27" s="16" t="s">
        <v>192</v>
      </c>
      <c r="B27" s="16" t="s">
        <v>51</v>
      </c>
      <c r="C27" s="16" t="s">
        <v>198</v>
      </c>
      <c r="D27" s="16" t="s">
        <v>199</v>
      </c>
      <c r="E27" s="17" t="s">
        <v>232</v>
      </c>
      <c r="F27" s="17" t="s">
        <v>233</v>
      </c>
      <c r="G27" s="13"/>
      <c r="H27" s="13"/>
      <c r="I27" s="13"/>
    </row>
    <row r="28" customFormat="false" ht="113.25" hidden="false" customHeight="true" outlineLevel="0" collapsed="false">
      <c r="A28" s="16" t="s">
        <v>192</v>
      </c>
      <c r="B28" s="16" t="s">
        <v>51</v>
      </c>
      <c r="C28" s="16" t="s">
        <v>200</v>
      </c>
      <c r="D28" s="16" t="s">
        <v>201</v>
      </c>
      <c r="E28" s="17" t="s">
        <v>232</v>
      </c>
      <c r="F28" s="17" t="s">
        <v>233</v>
      </c>
      <c r="G28" s="13"/>
      <c r="H28" s="13"/>
      <c r="I28" s="13"/>
    </row>
    <row r="29" customFormat="false" ht="113.25" hidden="false" customHeight="true" outlineLevel="0" collapsed="false">
      <c r="A29" s="16" t="s">
        <v>192</v>
      </c>
      <c r="B29" s="16" t="s">
        <v>51</v>
      </c>
      <c r="C29" s="16" t="s">
        <v>202</v>
      </c>
      <c r="D29" s="16" t="s">
        <v>203</v>
      </c>
      <c r="E29" s="17" t="s">
        <v>232</v>
      </c>
      <c r="F29" s="17" t="s">
        <v>233</v>
      </c>
      <c r="G29" s="13"/>
      <c r="H29" s="13"/>
      <c r="I29" s="13"/>
    </row>
    <row r="30" customFormat="false" ht="113.25" hidden="false" customHeight="true" outlineLevel="0" collapsed="false">
      <c r="A30" s="16" t="s">
        <v>192</v>
      </c>
      <c r="B30" s="16" t="s">
        <v>51</v>
      </c>
      <c r="C30" s="16" t="s">
        <v>204</v>
      </c>
      <c r="D30" s="16" t="s">
        <v>205</v>
      </c>
      <c r="E30" s="17" t="s">
        <v>232</v>
      </c>
      <c r="F30" s="17" t="s">
        <v>233</v>
      </c>
      <c r="G30" s="13"/>
      <c r="H30" s="13"/>
      <c r="I30" s="13"/>
    </row>
    <row r="31" customFormat="false" ht="113.25" hidden="false" customHeight="true" outlineLevel="0" collapsed="false">
      <c r="A31" s="16" t="s">
        <v>192</v>
      </c>
      <c r="B31" s="16" t="s">
        <v>51</v>
      </c>
      <c r="C31" s="16" t="s">
        <v>206</v>
      </c>
      <c r="D31" s="16" t="s">
        <v>205</v>
      </c>
      <c r="E31" s="17" t="s">
        <v>232</v>
      </c>
      <c r="F31" s="17" t="s">
        <v>233</v>
      </c>
      <c r="G31" s="13"/>
      <c r="H31" s="13"/>
      <c r="I31" s="13"/>
    </row>
    <row r="32" customFormat="false" ht="113.25" hidden="false" customHeight="true" outlineLevel="0" collapsed="false">
      <c r="A32" s="16" t="s">
        <v>192</v>
      </c>
      <c r="B32" s="16" t="s">
        <v>51</v>
      </c>
      <c r="C32" s="16" t="s">
        <v>207</v>
      </c>
      <c r="D32" s="16" t="s">
        <v>208</v>
      </c>
      <c r="E32" s="17" t="s">
        <v>232</v>
      </c>
      <c r="F32" s="17" t="s">
        <v>233</v>
      </c>
      <c r="G32" s="13"/>
      <c r="H32" s="13"/>
      <c r="I32" s="13"/>
    </row>
    <row r="33" customFormat="false" ht="113.25" hidden="false" customHeight="true" outlineLevel="0" collapsed="false">
      <c r="A33" s="16" t="s">
        <v>192</v>
      </c>
      <c r="B33" s="16" t="s">
        <v>51</v>
      </c>
      <c r="C33" s="16" t="s">
        <v>209</v>
      </c>
      <c r="D33" s="16" t="s">
        <v>210</v>
      </c>
      <c r="E33" s="17" t="s">
        <v>232</v>
      </c>
      <c r="F33" s="17" t="s">
        <v>233</v>
      </c>
      <c r="G33" s="13"/>
      <c r="H33" s="13"/>
      <c r="I33" s="13"/>
    </row>
    <row r="34" customFormat="false" ht="113.25" hidden="false" customHeight="true" outlineLevel="0" collapsed="false">
      <c r="A34" s="16" t="s">
        <v>192</v>
      </c>
      <c r="B34" s="16" t="s">
        <v>51</v>
      </c>
      <c r="C34" s="16" t="s">
        <v>211</v>
      </c>
      <c r="D34" s="16" t="s">
        <v>212</v>
      </c>
      <c r="E34" s="17" t="s">
        <v>232</v>
      </c>
      <c r="F34" s="17" t="s">
        <v>233</v>
      </c>
      <c r="G34" s="13"/>
      <c r="H34" s="13"/>
      <c r="I34" s="13"/>
    </row>
    <row r="35" customFormat="false" ht="113.25" hidden="false" customHeight="true" outlineLevel="0" collapsed="false">
      <c r="A35" s="16" t="s">
        <v>192</v>
      </c>
      <c r="B35" s="16" t="s">
        <v>51</v>
      </c>
      <c r="C35" s="16" t="s">
        <v>213</v>
      </c>
      <c r="D35" s="16" t="s">
        <v>214</v>
      </c>
      <c r="E35" s="17" t="s">
        <v>232</v>
      </c>
      <c r="F35" s="17" t="s">
        <v>233</v>
      </c>
      <c r="G35" s="13"/>
      <c r="H35" s="13"/>
      <c r="I35" s="13"/>
    </row>
    <row r="36" customFormat="false" ht="113.25" hidden="false" customHeight="true" outlineLevel="0" collapsed="false">
      <c r="A36" s="16" t="s">
        <v>192</v>
      </c>
      <c r="B36" s="16" t="s">
        <v>51</v>
      </c>
      <c r="C36" s="16" t="s">
        <v>215</v>
      </c>
      <c r="D36" s="16" t="s">
        <v>216</v>
      </c>
      <c r="E36" s="17" t="s">
        <v>232</v>
      </c>
      <c r="F36" s="17" t="s">
        <v>233</v>
      </c>
      <c r="G36" s="13"/>
      <c r="H36" s="13"/>
      <c r="I36" s="13"/>
    </row>
    <row r="37" customFormat="false" ht="113.25" hidden="false" customHeight="true" outlineLevel="0" collapsed="false">
      <c r="A37" s="16" t="s">
        <v>192</v>
      </c>
      <c r="B37" s="16" t="s">
        <v>51</v>
      </c>
      <c r="C37" s="16" t="s">
        <v>217</v>
      </c>
      <c r="D37" s="16" t="s">
        <v>218</v>
      </c>
      <c r="E37" s="17" t="s">
        <v>232</v>
      </c>
      <c r="F37" s="17" t="s">
        <v>233</v>
      </c>
      <c r="G37" s="13"/>
      <c r="H37" s="13"/>
      <c r="I37" s="13"/>
    </row>
    <row r="38" customFormat="false" ht="113.25" hidden="false" customHeight="true" outlineLevel="0" collapsed="false">
      <c r="A38" s="16" t="s">
        <v>192</v>
      </c>
      <c r="B38" s="16" t="s">
        <v>51</v>
      </c>
      <c r="C38" s="16" t="s">
        <v>219</v>
      </c>
      <c r="D38" s="16" t="s">
        <v>220</v>
      </c>
      <c r="E38" s="17" t="s">
        <v>232</v>
      </c>
      <c r="F38" s="17" t="s">
        <v>233</v>
      </c>
      <c r="G38" s="13"/>
      <c r="H38" s="13"/>
      <c r="I38" s="13"/>
    </row>
    <row r="39" customFormat="false" ht="113.25" hidden="false" customHeight="true" outlineLevel="0" collapsed="false">
      <c r="A39" s="16" t="s">
        <v>192</v>
      </c>
      <c r="B39" s="16" t="s">
        <v>51</v>
      </c>
      <c r="C39" s="16" t="s">
        <v>221</v>
      </c>
      <c r="D39" s="16" t="s">
        <v>234</v>
      </c>
      <c r="E39" s="17" t="s">
        <v>232</v>
      </c>
      <c r="F39" s="17" t="s">
        <v>233</v>
      </c>
      <c r="G39" s="13"/>
      <c r="H39" s="13"/>
      <c r="I39" s="13"/>
    </row>
    <row r="40" customFormat="false" ht="113.25" hidden="false" customHeight="true" outlineLevel="0" collapsed="false">
      <c r="A40" s="16" t="s">
        <v>192</v>
      </c>
      <c r="B40" s="16" t="s">
        <v>51</v>
      </c>
      <c r="C40" s="16" t="s">
        <v>223</v>
      </c>
      <c r="D40" s="16" t="s">
        <v>224</v>
      </c>
      <c r="E40" s="17" t="s">
        <v>232</v>
      </c>
      <c r="F40" s="17" t="s">
        <v>233</v>
      </c>
      <c r="G40" s="13"/>
      <c r="H40" s="13"/>
      <c r="I40" s="13"/>
    </row>
    <row r="41" customFormat="false" ht="113.25" hidden="false" customHeight="true" outlineLevel="0" collapsed="false">
      <c r="A41" s="16" t="s">
        <v>192</v>
      </c>
      <c r="B41" s="16" t="s">
        <v>51</v>
      </c>
      <c r="C41" s="16" t="s">
        <v>225</v>
      </c>
      <c r="D41" s="16" t="s">
        <v>224</v>
      </c>
      <c r="E41" s="17" t="s">
        <v>232</v>
      </c>
      <c r="F41" s="17" t="s">
        <v>233</v>
      </c>
      <c r="G41" s="13"/>
      <c r="H41" s="13"/>
      <c r="I41" s="13"/>
    </row>
    <row r="42" customFormat="false" ht="113.25" hidden="false" customHeight="true" outlineLevel="0" collapsed="false">
      <c r="A42" s="16" t="s">
        <v>192</v>
      </c>
      <c r="B42" s="16" t="s">
        <v>51</v>
      </c>
      <c r="C42" s="16" t="s">
        <v>226</v>
      </c>
      <c r="D42" s="16" t="s">
        <v>224</v>
      </c>
      <c r="E42" s="17" t="s">
        <v>232</v>
      </c>
      <c r="F42" s="17" t="s">
        <v>233</v>
      </c>
      <c r="G42" s="13"/>
      <c r="H42" s="13"/>
      <c r="I42" s="13"/>
    </row>
    <row r="43" customFormat="false" ht="113.25" hidden="false" customHeight="true" outlineLevel="0" collapsed="false">
      <c r="A43" s="16" t="s">
        <v>192</v>
      </c>
      <c r="B43" s="16" t="s">
        <v>51</v>
      </c>
      <c r="C43" s="16" t="s">
        <v>227</v>
      </c>
      <c r="D43" s="16" t="s">
        <v>228</v>
      </c>
      <c r="E43" s="17" t="s">
        <v>232</v>
      </c>
      <c r="F43" s="17" t="s">
        <v>233</v>
      </c>
      <c r="G43" s="13"/>
      <c r="H43" s="13"/>
      <c r="I43" s="13"/>
    </row>
    <row r="44" customFormat="false" ht="113.25" hidden="false" customHeight="true" outlineLevel="0" collapsed="false">
      <c r="A44" s="16" t="s">
        <v>192</v>
      </c>
      <c r="B44" s="16" t="s">
        <v>51</v>
      </c>
      <c r="C44" s="16" t="s">
        <v>229</v>
      </c>
      <c r="D44" s="16" t="s">
        <v>212</v>
      </c>
      <c r="E44" s="17" t="s">
        <v>232</v>
      </c>
      <c r="F44" s="17" t="s">
        <v>233</v>
      </c>
      <c r="G44" s="13"/>
      <c r="H44" s="13"/>
      <c r="I44" s="13"/>
    </row>
    <row r="45" customFormat="false" ht="113.25" hidden="false" customHeight="true" outlineLevel="0" collapsed="false">
      <c r="A45" s="16" t="s">
        <v>192</v>
      </c>
      <c r="B45" s="16" t="s">
        <v>51</v>
      </c>
      <c r="C45" s="16" t="s">
        <v>230</v>
      </c>
      <c r="D45" s="16" t="s">
        <v>224</v>
      </c>
      <c r="E45" s="17" t="s">
        <v>232</v>
      </c>
      <c r="F45" s="17" t="s">
        <v>233</v>
      </c>
      <c r="G45" s="13"/>
      <c r="H45" s="13"/>
      <c r="I45" s="13"/>
    </row>
    <row r="46" customFormat="false" ht="113.25" hidden="false" customHeight="true" outlineLevel="0" collapsed="false">
      <c r="A46" s="16" t="s">
        <v>192</v>
      </c>
      <c r="B46" s="16" t="s">
        <v>51</v>
      </c>
      <c r="C46" s="16" t="s">
        <v>231</v>
      </c>
      <c r="D46" s="16" t="s">
        <v>210</v>
      </c>
      <c r="E46" s="17" t="s">
        <v>232</v>
      </c>
      <c r="F46" s="17" t="s">
        <v>233</v>
      </c>
      <c r="G46" s="13"/>
      <c r="H46" s="13"/>
      <c r="I46" s="13"/>
    </row>
    <row r="47" customFormat="false" ht="113.25" hidden="false" customHeight="true" outlineLevel="0" collapsed="false">
      <c r="A47" s="16" t="s">
        <v>192</v>
      </c>
      <c r="B47" s="16" t="s">
        <v>235</v>
      </c>
      <c r="C47" s="16" t="s">
        <v>194</v>
      </c>
      <c r="D47" s="16" t="s">
        <v>195</v>
      </c>
      <c r="E47" s="17" t="s">
        <v>236</v>
      </c>
      <c r="F47" s="17" t="s">
        <v>237</v>
      </c>
      <c r="G47" s="13"/>
      <c r="H47" s="13"/>
      <c r="I47" s="13"/>
    </row>
    <row r="48" customFormat="false" ht="113.25" hidden="false" customHeight="true" outlineLevel="0" collapsed="false">
      <c r="A48" s="16" t="s">
        <v>192</v>
      </c>
      <c r="B48" s="16" t="s">
        <v>235</v>
      </c>
      <c r="C48" s="16" t="s">
        <v>198</v>
      </c>
      <c r="D48" s="16" t="s">
        <v>199</v>
      </c>
      <c r="E48" s="17" t="s">
        <v>236</v>
      </c>
      <c r="F48" s="17" t="s">
        <v>237</v>
      </c>
      <c r="G48" s="13"/>
      <c r="H48" s="13"/>
      <c r="I48" s="13"/>
    </row>
    <row r="49" customFormat="false" ht="113.25" hidden="false" customHeight="true" outlineLevel="0" collapsed="false">
      <c r="A49" s="16" t="s">
        <v>192</v>
      </c>
      <c r="B49" s="16" t="s">
        <v>235</v>
      </c>
      <c r="C49" s="16" t="s">
        <v>200</v>
      </c>
      <c r="D49" s="16" t="s">
        <v>201</v>
      </c>
      <c r="E49" s="17" t="s">
        <v>236</v>
      </c>
      <c r="F49" s="17" t="s">
        <v>237</v>
      </c>
      <c r="G49" s="13"/>
      <c r="H49" s="13"/>
      <c r="I49" s="13"/>
    </row>
    <row r="50" customFormat="false" ht="113.25" hidden="false" customHeight="true" outlineLevel="0" collapsed="false">
      <c r="A50" s="16" t="s">
        <v>192</v>
      </c>
      <c r="B50" s="16" t="s">
        <v>235</v>
      </c>
      <c r="C50" s="16" t="s">
        <v>202</v>
      </c>
      <c r="D50" s="16" t="s">
        <v>203</v>
      </c>
      <c r="E50" s="17" t="s">
        <v>236</v>
      </c>
      <c r="F50" s="17" t="s">
        <v>237</v>
      </c>
      <c r="G50" s="13"/>
      <c r="H50" s="13"/>
      <c r="I50" s="13"/>
    </row>
    <row r="51" customFormat="false" ht="113.25" hidden="false" customHeight="true" outlineLevel="0" collapsed="false">
      <c r="A51" s="16" t="s">
        <v>192</v>
      </c>
      <c r="B51" s="16" t="s">
        <v>235</v>
      </c>
      <c r="C51" s="16" t="s">
        <v>204</v>
      </c>
      <c r="D51" s="16" t="s">
        <v>205</v>
      </c>
      <c r="E51" s="17" t="s">
        <v>236</v>
      </c>
      <c r="F51" s="17" t="s">
        <v>237</v>
      </c>
      <c r="G51" s="13"/>
      <c r="H51" s="13"/>
      <c r="I51" s="13"/>
    </row>
    <row r="52" customFormat="false" ht="113.25" hidden="false" customHeight="true" outlineLevel="0" collapsed="false">
      <c r="A52" s="16" t="s">
        <v>192</v>
      </c>
      <c r="B52" s="16" t="s">
        <v>235</v>
      </c>
      <c r="C52" s="16" t="s">
        <v>206</v>
      </c>
      <c r="D52" s="16" t="s">
        <v>205</v>
      </c>
      <c r="E52" s="17" t="s">
        <v>236</v>
      </c>
      <c r="F52" s="17" t="s">
        <v>237</v>
      </c>
      <c r="G52" s="13"/>
      <c r="H52" s="13"/>
      <c r="I52" s="13"/>
    </row>
    <row r="53" customFormat="false" ht="113.25" hidden="false" customHeight="true" outlineLevel="0" collapsed="false">
      <c r="A53" s="16" t="s">
        <v>192</v>
      </c>
      <c r="B53" s="16" t="s">
        <v>235</v>
      </c>
      <c r="C53" s="16" t="s">
        <v>207</v>
      </c>
      <c r="D53" s="16" t="s">
        <v>208</v>
      </c>
      <c r="E53" s="17" t="s">
        <v>236</v>
      </c>
      <c r="F53" s="17" t="s">
        <v>237</v>
      </c>
      <c r="G53" s="13"/>
      <c r="H53" s="13"/>
      <c r="I53" s="13"/>
    </row>
    <row r="54" customFormat="false" ht="113.25" hidden="false" customHeight="true" outlineLevel="0" collapsed="false">
      <c r="A54" s="16" t="s">
        <v>192</v>
      </c>
      <c r="B54" s="16" t="s">
        <v>235</v>
      </c>
      <c r="C54" s="16" t="s">
        <v>209</v>
      </c>
      <c r="D54" s="16" t="s">
        <v>210</v>
      </c>
      <c r="E54" s="17" t="s">
        <v>236</v>
      </c>
      <c r="F54" s="17" t="s">
        <v>237</v>
      </c>
      <c r="G54" s="13"/>
      <c r="H54" s="13"/>
      <c r="I54" s="13"/>
    </row>
    <row r="55" customFormat="false" ht="113.25" hidden="false" customHeight="true" outlineLevel="0" collapsed="false">
      <c r="A55" s="16" t="s">
        <v>192</v>
      </c>
      <c r="B55" s="16" t="s">
        <v>235</v>
      </c>
      <c r="C55" s="16" t="s">
        <v>211</v>
      </c>
      <c r="D55" s="16" t="s">
        <v>212</v>
      </c>
      <c r="E55" s="17" t="s">
        <v>236</v>
      </c>
      <c r="F55" s="17" t="s">
        <v>237</v>
      </c>
      <c r="G55" s="13"/>
      <c r="H55" s="13"/>
      <c r="I55" s="13"/>
    </row>
    <row r="56" customFormat="false" ht="113.25" hidden="false" customHeight="true" outlineLevel="0" collapsed="false">
      <c r="A56" s="16" t="s">
        <v>192</v>
      </c>
      <c r="B56" s="16" t="s">
        <v>235</v>
      </c>
      <c r="C56" s="16" t="s">
        <v>213</v>
      </c>
      <c r="D56" s="16" t="s">
        <v>214</v>
      </c>
      <c r="E56" s="17" t="s">
        <v>236</v>
      </c>
      <c r="F56" s="17" t="s">
        <v>237</v>
      </c>
      <c r="G56" s="13"/>
      <c r="H56" s="13"/>
      <c r="I56" s="13"/>
    </row>
    <row r="57" customFormat="false" ht="113.25" hidden="false" customHeight="true" outlineLevel="0" collapsed="false">
      <c r="A57" s="16" t="s">
        <v>192</v>
      </c>
      <c r="B57" s="16" t="s">
        <v>235</v>
      </c>
      <c r="C57" s="16" t="s">
        <v>215</v>
      </c>
      <c r="D57" s="16" t="s">
        <v>216</v>
      </c>
      <c r="E57" s="17" t="s">
        <v>236</v>
      </c>
      <c r="F57" s="17" t="s">
        <v>237</v>
      </c>
      <c r="G57" s="13"/>
      <c r="H57" s="13"/>
      <c r="I57" s="13"/>
    </row>
    <row r="58" customFormat="false" ht="113.25" hidden="false" customHeight="true" outlineLevel="0" collapsed="false">
      <c r="A58" s="16" t="s">
        <v>192</v>
      </c>
      <c r="B58" s="16" t="s">
        <v>235</v>
      </c>
      <c r="C58" s="16" t="s">
        <v>217</v>
      </c>
      <c r="D58" s="16" t="s">
        <v>218</v>
      </c>
      <c r="E58" s="17" t="s">
        <v>236</v>
      </c>
      <c r="F58" s="17" t="s">
        <v>237</v>
      </c>
      <c r="G58" s="13"/>
      <c r="H58" s="13"/>
      <c r="I58" s="13"/>
    </row>
    <row r="59" customFormat="false" ht="113.25" hidden="false" customHeight="true" outlineLevel="0" collapsed="false">
      <c r="A59" s="16" t="s">
        <v>192</v>
      </c>
      <c r="B59" s="16" t="s">
        <v>235</v>
      </c>
      <c r="C59" s="16" t="s">
        <v>219</v>
      </c>
      <c r="D59" s="16" t="s">
        <v>220</v>
      </c>
      <c r="E59" s="17" t="s">
        <v>236</v>
      </c>
      <c r="F59" s="17" t="s">
        <v>237</v>
      </c>
      <c r="G59" s="13"/>
      <c r="H59" s="13"/>
      <c r="I59" s="13"/>
    </row>
    <row r="60" customFormat="false" ht="113.25" hidden="false" customHeight="true" outlineLevel="0" collapsed="false">
      <c r="A60" s="16" t="s">
        <v>192</v>
      </c>
      <c r="B60" s="16" t="s">
        <v>235</v>
      </c>
      <c r="C60" s="16" t="s">
        <v>221</v>
      </c>
      <c r="D60" s="16" t="s">
        <v>222</v>
      </c>
      <c r="E60" s="17" t="s">
        <v>236</v>
      </c>
      <c r="F60" s="17" t="s">
        <v>237</v>
      </c>
      <c r="G60" s="13"/>
      <c r="H60" s="13"/>
      <c r="I60" s="13"/>
    </row>
    <row r="61" customFormat="false" ht="113.25" hidden="false" customHeight="true" outlineLevel="0" collapsed="false">
      <c r="A61" s="16" t="s">
        <v>192</v>
      </c>
      <c r="B61" s="16" t="s">
        <v>235</v>
      </c>
      <c r="C61" s="16" t="s">
        <v>223</v>
      </c>
      <c r="D61" s="16" t="s">
        <v>224</v>
      </c>
      <c r="E61" s="17" t="s">
        <v>236</v>
      </c>
      <c r="F61" s="17" t="s">
        <v>237</v>
      </c>
      <c r="G61" s="13"/>
      <c r="H61" s="13"/>
      <c r="I61" s="13"/>
    </row>
    <row r="62" customFormat="false" ht="113.25" hidden="false" customHeight="true" outlineLevel="0" collapsed="false">
      <c r="A62" s="16" t="s">
        <v>192</v>
      </c>
      <c r="B62" s="16" t="s">
        <v>235</v>
      </c>
      <c r="C62" s="16" t="s">
        <v>225</v>
      </c>
      <c r="D62" s="16" t="s">
        <v>224</v>
      </c>
      <c r="E62" s="17" t="s">
        <v>236</v>
      </c>
      <c r="F62" s="17" t="s">
        <v>237</v>
      </c>
      <c r="G62" s="13"/>
      <c r="H62" s="13"/>
      <c r="I62" s="13"/>
    </row>
    <row r="63" customFormat="false" ht="113.25" hidden="false" customHeight="true" outlineLevel="0" collapsed="false">
      <c r="A63" s="16" t="s">
        <v>192</v>
      </c>
      <c r="B63" s="16" t="s">
        <v>235</v>
      </c>
      <c r="C63" s="16" t="s">
        <v>226</v>
      </c>
      <c r="D63" s="16" t="s">
        <v>224</v>
      </c>
      <c r="E63" s="17" t="s">
        <v>236</v>
      </c>
      <c r="F63" s="17" t="s">
        <v>237</v>
      </c>
      <c r="G63" s="13"/>
      <c r="H63" s="13"/>
      <c r="I63" s="13"/>
    </row>
    <row r="64" customFormat="false" ht="113.25" hidden="false" customHeight="true" outlineLevel="0" collapsed="false">
      <c r="A64" s="16" t="s">
        <v>192</v>
      </c>
      <c r="B64" s="16" t="s">
        <v>235</v>
      </c>
      <c r="C64" s="16" t="s">
        <v>227</v>
      </c>
      <c r="D64" s="16" t="s">
        <v>228</v>
      </c>
      <c r="E64" s="17" t="s">
        <v>236</v>
      </c>
      <c r="F64" s="17" t="s">
        <v>237</v>
      </c>
      <c r="G64" s="13"/>
      <c r="H64" s="13"/>
      <c r="I64" s="13"/>
    </row>
    <row r="65" customFormat="false" ht="113.25" hidden="false" customHeight="true" outlineLevel="0" collapsed="false">
      <c r="A65" s="16" t="s">
        <v>192</v>
      </c>
      <c r="B65" s="16" t="s">
        <v>235</v>
      </c>
      <c r="C65" s="16" t="s">
        <v>229</v>
      </c>
      <c r="D65" s="16" t="s">
        <v>212</v>
      </c>
      <c r="E65" s="17" t="s">
        <v>236</v>
      </c>
      <c r="F65" s="17" t="s">
        <v>237</v>
      </c>
      <c r="G65" s="13"/>
      <c r="H65" s="13"/>
      <c r="I65" s="13"/>
    </row>
    <row r="66" customFormat="false" ht="113.25" hidden="false" customHeight="true" outlineLevel="0" collapsed="false">
      <c r="A66" s="16" t="s">
        <v>192</v>
      </c>
      <c r="B66" s="16" t="s">
        <v>235</v>
      </c>
      <c r="C66" s="16" t="s">
        <v>230</v>
      </c>
      <c r="D66" s="16" t="s">
        <v>224</v>
      </c>
      <c r="E66" s="17" t="s">
        <v>236</v>
      </c>
      <c r="F66" s="17" t="s">
        <v>237</v>
      </c>
      <c r="G66" s="13"/>
      <c r="H66" s="13"/>
      <c r="I66" s="13"/>
    </row>
    <row r="67" customFormat="false" ht="113.25" hidden="false" customHeight="true" outlineLevel="0" collapsed="false">
      <c r="A67" s="16" t="s">
        <v>192</v>
      </c>
      <c r="B67" s="16" t="s">
        <v>235</v>
      </c>
      <c r="C67" s="16" t="s">
        <v>231</v>
      </c>
      <c r="D67" s="16" t="s">
        <v>210</v>
      </c>
      <c r="E67" s="17" t="s">
        <v>236</v>
      </c>
      <c r="F67" s="17" t="s">
        <v>237</v>
      </c>
      <c r="G67" s="13"/>
      <c r="H67" s="13"/>
      <c r="I67" s="13"/>
    </row>
    <row r="68" customFormat="false" ht="168.75" hidden="false" customHeight="true" outlineLevel="0" collapsed="false">
      <c r="A68" s="11" t="s">
        <v>50</v>
      </c>
      <c r="B68" s="11" t="s">
        <v>51</v>
      </c>
      <c r="C68" s="11" t="s">
        <v>238</v>
      </c>
      <c r="D68" s="11" t="s">
        <v>239</v>
      </c>
      <c r="E68" s="12" t="s">
        <v>53</v>
      </c>
      <c r="F68" s="12" t="s">
        <v>54</v>
      </c>
      <c r="G68" s="13" t="s">
        <v>44</v>
      </c>
      <c r="H68" s="13"/>
      <c r="I68" s="13"/>
    </row>
    <row r="69" customFormat="false" ht="168.75" hidden="false" customHeight="true" outlineLevel="0" collapsed="false">
      <c r="A69" s="11" t="s">
        <v>50</v>
      </c>
      <c r="B69" s="11" t="s">
        <v>51</v>
      </c>
      <c r="C69" s="11" t="s">
        <v>240</v>
      </c>
      <c r="D69" s="11" t="s">
        <v>241</v>
      </c>
      <c r="E69" s="12" t="s">
        <v>53</v>
      </c>
      <c r="F69" s="12" t="s">
        <v>54</v>
      </c>
      <c r="G69" s="13" t="s">
        <v>44</v>
      </c>
      <c r="H69" s="13"/>
      <c r="I69" s="13"/>
    </row>
    <row r="70" customFormat="false" ht="168.75" hidden="false" customHeight="true" outlineLevel="0" collapsed="false">
      <c r="A70" s="11" t="s">
        <v>50</v>
      </c>
      <c r="B70" s="11" t="s">
        <v>51</v>
      </c>
      <c r="C70" s="11" t="s">
        <v>242</v>
      </c>
      <c r="D70" s="11" t="s">
        <v>243</v>
      </c>
      <c r="E70" s="12" t="s">
        <v>53</v>
      </c>
      <c r="F70" s="12" t="s">
        <v>54</v>
      </c>
      <c r="G70" s="13" t="s">
        <v>44</v>
      </c>
      <c r="H70" s="13"/>
      <c r="I70" s="13"/>
    </row>
    <row r="71" customFormat="false" ht="168.75" hidden="false" customHeight="true" outlineLevel="0" collapsed="false">
      <c r="A71" s="11" t="s">
        <v>50</v>
      </c>
      <c r="B71" s="11" t="s">
        <v>51</v>
      </c>
      <c r="C71" s="11" t="s">
        <v>244</v>
      </c>
      <c r="D71" s="11" t="s">
        <v>203</v>
      </c>
      <c r="E71" s="12" t="s">
        <v>53</v>
      </c>
      <c r="F71" s="12" t="s">
        <v>54</v>
      </c>
      <c r="G71" s="13" t="s">
        <v>44</v>
      </c>
      <c r="H71" s="13"/>
      <c r="I71" s="13"/>
    </row>
    <row r="72" customFormat="false" ht="168.75" hidden="false" customHeight="true" outlineLevel="0" collapsed="false">
      <c r="A72" s="11" t="s">
        <v>50</v>
      </c>
      <c r="B72" s="11" t="s">
        <v>51</v>
      </c>
      <c r="C72" s="11" t="s">
        <v>245</v>
      </c>
      <c r="D72" s="11" t="s">
        <v>246</v>
      </c>
      <c r="E72" s="12" t="s">
        <v>53</v>
      </c>
      <c r="F72" s="12" t="s">
        <v>54</v>
      </c>
      <c r="G72" s="13" t="s">
        <v>44</v>
      </c>
      <c r="H72" s="13"/>
      <c r="I72" s="13"/>
    </row>
    <row r="73" customFormat="false" ht="168.75" hidden="false" customHeight="true" outlineLevel="0" collapsed="false">
      <c r="A73" s="11" t="s">
        <v>50</v>
      </c>
      <c r="B73" s="11" t="s">
        <v>51</v>
      </c>
      <c r="C73" s="11" t="s">
        <v>247</v>
      </c>
      <c r="D73" s="11" t="s">
        <v>248</v>
      </c>
      <c r="E73" s="12" t="s">
        <v>53</v>
      </c>
      <c r="F73" s="12" t="s">
        <v>54</v>
      </c>
      <c r="G73" s="13" t="s">
        <v>44</v>
      </c>
      <c r="H73" s="13"/>
      <c r="I73" s="13"/>
    </row>
    <row r="74" customFormat="false" ht="168.75" hidden="false" customHeight="true" outlineLevel="0" collapsed="false">
      <c r="A74" s="11" t="s">
        <v>50</v>
      </c>
      <c r="B74" s="11" t="s">
        <v>51</v>
      </c>
      <c r="C74" s="11" t="s">
        <v>249</v>
      </c>
      <c r="D74" s="11" t="s">
        <v>250</v>
      </c>
      <c r="E74" s="12" t="s">
        <v>53</v>
      </c>
      <c r="F74" s="12" t="s">
        <v>54</v>
      </c>
      <c r="G74" s="13" t="s">
        <v>44</v>
      </c>
      <c r="H74" s="13"/>
      <c r="I74" s="13"/>
    </row>
    <row r="75" customFormat="false" ht="168.75" hidden="false" customHeight="true" outlineLevel="0" collapsed="false">
      <c r="A75" s="11" t="s">
        <v>50</v>
      </c>
      <c r="B75" s="11" t="s">
        <v>51</v>
      </c>
      <c r="C75" s="11" t="s">
        <v>251</v>
      </c>
      <c r="D75" s="11" t="s">
        <v>203</v>
      </c>
      <c r="E75" s="12" t="s">
        <v>53</v>
      </c>
      <c r="F75" s="12" t="s">
        <v>54</v>
      </c>
      <c r="G75" s="13" t="s">
        <v>44</v>
      </c>
      <c r="H75" s="13"/>
      <c r="I75" s="13"/>
    </row>
    <row r="76" customFormat="false" ht="168.75" hidden="false" customHeight="true" outlineLevel="0" collapsed="false">
      <c r="A76" s="11" t="s">
        <v>50</v>
      </c>
      <c r="B76" s="11" t="s">
        <v>51</v>
      </c>
      <c r="C76" s="11" t="s">
        <v>252</v>
      </c>
      <c r="D76" s="11" t="s">
        <v>250</v>
      </c>
      <c r="E76" s="12" t="s">
        <v>53</v>
      </c>
      <c r="F76" s="12" t="s">
        <v>54</v>
      </c>
      <c r="G76" s="13" t="s">
        <v>44</v>
      </c>
      <c r="H76" s="13"/>
      <c r="I76" s="13"/>
    </row>
    <row r="77" customFormat="false" ht="168.75" hidden="false" customHeight="true" outlineLevel="0" collapsed="false">
      <c r="A77" s="11" t="s">
        <v>50</v>
      </c>
      <c r="B77" s="11" t="s">
        <v>51</v>
      </c>
      <c r="C77" s="11" t="s">
        <v>253</v>
      </c>
      <c r="D77" s="11" t="s">
        <v>212</v>
      </c>
      <c r="E77" s="12" t="s">
        <v>53</v>
      </c>
      <c r="F77" s="12" t="s">
        <v>54</v>
      </c>
      <c r="G77" s="13" t="s">
        <v>44</v>
      </c>
      <c r="H77" s="13"/>
      <c r="I77" s="13"/>
    </row>
    <row r="78" customFormat="false" ht="168.75" hidden="false" customHeight="true" outlineLevel="0" collapsed="false">
      <c r="A78" s="11" t="s">
        <v>50</v>
      </c>
      <c r="B78" s="11" t="s">
        <v>51</v>
      </c>
      <c r="C78" s="11" t="s">
        <v>254</v>
      </c>
      <c r="D78" s="11" t="s">
        <v>255</v>
      </c>
      <c r="E78" s="12" t="s">
        <v>53</v>
      </c>
      <c r="F78" s="12" t="s">
        <v>54</v>
      </c>
      <c r="G78" s="13" t="s">
        <v>44</v>
      </c>
      <c r="H78" s="13"/>
      <c r="I78" s="13"/>
    </row>
    <row r="79" customFormat="false" ht="168.75" hidden="false" customHeight="true" outlineLevel="0" collapsed="false">
      <c r="A79" s="11" t="s">
        <v>50</v>
      </c>
      <c r="B79" s="11" t="s">
        <v>51</v>
      </c>
      <c r="C79" s="11" t="s">
        <v>256</v>
      </c>
      <c r="D79" s="11" t="s">
        <v>257</v>
      </c>
      <c r="E79" s="12" t="s">
        <v>53</v>
      </c>
      <c r="F79" s="12" t="s">
        <v>54</v>
      </c>
      <c r="G79" s="13" t="s">
        <v>44</v>
      </c>
      <c r="H79" s="13"/>
      <c r="I79" s="13"/>
    </row>
    <row r="80" customFormat="false" ht="168.75" hidden="false" customHeight="true" outlineLevel="0" collapsed="false">
      <c r="A80" s="11" t="s">
        <v>50</v>
      </c>
      <c r="B80" s="11" t="s">
        <v>51</v>
      </c>
      <c r="C80" s="11" t="s">
        <v>258</v>
      </c>
      <c r="D80" s="11" t="s">
        <v>259</v>
      </c>
      <c r="E80" s="12" t="s">
        <v>53</v>
      </c>
      <c r="F80" s="12" t="s">
        <v>54</v>
      </c>
      <c r="G80" s="13" t="s">
        <v>44</v>
      </c>
      <c r="H80" s="13"/>
      <c r="I80" s="13"/>
    </row>
    <row r="81" customFormat="false" ht="168.75" hidden="false" customHeight="true" outlineLevel="0" collapsed="false">
      <c r="A81" s="11" t="s">
        <v>50</v>
      </c>
      <c r="B81" s="11" t="s">
        <v>51</v>
      </c>
      <c r="C81" s="11" t="s">
        <v>260</v>
      </c>
      <c r="D81" s="11" t="s">
        <v>261</v>
      </c>
      <c r="E81" s="12" t="s">
        <v>53</v>
      </c>
      <c r="F81" s="12" t="s">
        <v>54</v>
      </c>
      <c r="G81" s="13" t="s">
        <v>44</v>
      </c>
      <c r="H81" s="13"/>
      <c r="I81" s="13" t="s">
        <v>262</v>
      </c>
    </row>
    <row r="82" customFormat="false" ht="168.75" hidden="false" customHeight="true" outlineLevel="0" collapsed="false">
      <c r="A82" s="11" t="s">
        <v>50</v>
      </c>
      <c r="B82" s="11" t="s">
        <v>51</v>
      </c>
      <c r="C82" s="11" t="s">
        <v>263</v>
      </c>
      <c r="D82" s="11" t="s">
        <v>264</v>
      </c>
      <c r="E82" s="12" t="s">
        <v>53</v>
      </c>
      <c r="F82" s="12" t="s">
        <v>54</v>
      </c>
      <c r="G82" s="13" t="s">
        <v>44</v>
      </c>
      <c r="H82" s="13"/>
      <c r="I82" s="13"/>
    </row>
    <row r="83" customFormat="false" ht="168.75" hidden="false" customHeight="true" outlineLevel="0" collapsed="false">
      <c r="A83" s="11" t="s">
        <v>50</v>
      </c>
      <c r="B83" s="11" t="s">
        <v>51</v>
      </c>
      <c r="C83" s="11" t="s">
        <v>265</v>
      </c>
      <c r="D83" s="11" t="s">
        <v>266</v>
      </c>
      <c r="E83" s="12" t="s">
        <v>53</v>
      </c>
      <c r="F83" s="12" t="s">
        <v>54</v>
      </c>
      <c r="G83" s="13" t="s">
        <v>44</v>
      </c>
      <c r="H83" s="13"/>
      <c r="I83" s="13"/>
    </row>
    <row r="84" customFormat="false" ht="168.75" hidden="false" customHeight="true" outlineLevel="0" collapsed="false">
      <c r="A84" s="11" t="s">
        <v>50</v>
      </c>
      <c r="B84" s="11" t="s">
        <v>51</v>
      </c>
      <c r="C84" s="11" t="s">
        <v>267</v>
      </c>
      <c r="D84" s="11" t="s">
        <v>257</v>
      </c>
      <c r="E84" s="12" t="s">
        <v>53</v>
      </c>
      <c r="F84" s="12" t="s">
        <v>54</v>
      </c>
      <c r="G84" s="13" t="s">
        <v>44</v>
      </c>
      <c r="H84" s="13"/>
      <c r="I84" s="13"/>
    </row>
    <row r="85" customFormat="false" ht="168.75" hidden="false" customHeight="true" outlineLevel="0" collapsed="false">
      <c r="A85" s="11" t="s">
        <v>50</v>
      </c>
      <c r="B85" s="11" t="s">
        <v>51</v>
      </c>
      <c r="C85" s="11" t="s">
        <v>268</v>
      </c>
      <c r="D85" s="11" t="s">
        <v>246</v>
      </c>
      <c r="E85" s="12" t="s">
        <v>53</v>
      </c>
      <c r="F85" s="12" t="s">
        <v>54</v>
      </c>
      <c r="G85" s="13" t="s">
        <v>44</v>
      </c>
      <c r="H85" s="13"/>
      <c r="I85" s="13"/>
    </row>
    <row r="86" customFormat="false" ht="168.75" hidden="false" customHeight="true" outlineLevel="0" collapsed="false">
      <c r="A86" s="11" t="s">
        <v>50</v>
      </c>
      <c r="B86" s="11" t="s">
        <v>51</v>
      </c>
      <c r="C86" s="11" t="s">
        <v>269</v>
      </c>
      <c r="D86" s="11" t="s">
        <v>270</v>
      </c>
      <c r="E86" s="12" t="s">
        <v>53</v>
      </c>
      <c r="F86" s="12" t="s">
        <v>54</v>
      </c>
      <c r="G86" s="13" t="s">
        <v>44</v>
      </c>
      <c r="H86" s="13"/>
      <c r="I86" s="13"/>
    </row>
    <row r="87" customFormat="false" ht="168.75" hidden="false" customHeight="true" outlineLevel="0" collapsed="false">
      <c r="A87" s="11" t="s">
        <v>50</v>
      </c>
      <c r="B87" s="11" t="s">
        <v>51</v>
      </c>
      <c r="C87" s="11" t="s">
        <v>271</v>
      </c>
      <c r="D87" s="11" t="s">
        <v>272</v>
      </c>
      <c r="E87" s="12" t="s">
        <v>53</v>
      </c>
      <c r="F87" s="12" t="s">
        <v>54</v>
      </c>
      <c r="G87" s="13" t="s">
        <v>44</v>
      </c>
      <c r="H87" s="13"/>
      <c r="I87" s="13"/>
    </row>
    <row r="88" customFormat="false" ht="168.75" hidden="false" customHeight="true" outlineLevel="0" collapsed="false">
      <c r="A88" s="11" t="s">
        <v>50</v>
      </c>
      <c r="B88" s="11" t="s">
        <v>51</v>
      </c>
      <c r="C88" s="11" t="s">
        <v>273</v>
      </c>
      <c r="D88" s="11" t="s">
        <v>274</v>
      </c>
      <c r="E88" s="12" t="s">
        <v>53</v>
      </c>
      <c r="F88" s="12" t="s">
        <v>54</v>
      </c>
      <c r="G88" s="13" t="s">
        <v>44</v>
      </c>
      <c r="H88" s="13"/>
      <c r="I88" s="13"/>
    </row>
    <row r="89" customFormat="false" ht="168.75" hidden="false" customHeight="true" outlineLevel="0" collapsed="false">
      <c r="A89" s="11" t="s">
        <v>50</v>
      </c>
      <c r="B89" s="11" t="s">
        <v>51</v>
      </c>
      <c r="C89" s="11" t="s">
        <v>275</v>
      </c>
      <c r="D89" s="11" t="s">
        <v>208</v>
      </c>
      <c r="E89" s="12" t="s">
        <v>53</v>
      </c>
      <c r="F89" s="12" t="s">
        <v>54</v>
      </c>
      <c r="G89" s="13" t="s">
        <v>44</v>
      </c>
      <c r="H89" s="13"/>
      <c r="I89" s="13"/>
    </row>
    <row r="90" customFormat="false" ht="168.75" hidden="false" customHeight="true" outlineLevel="0" collapsed="false">
      <c r="A90" s="11" t="s">
        <v>50</v>
      </c>
      <c r="B90" s="11" t="s">
        <v>51</v>
      </c>
      <c r="C90" s="11" t="s">
        <v>276</v>
      </c>
      <c r="D90" s="11" t="s">
        <v>214</v>
      </c>
      <c r="E90" s="12" t="s">
        <v>53</v>
      </c>
      <c r="F90" s="12" t="s">
        <v>54</v>
      </c>
      <c r="G90" s="13" t="s">
        <v>44</v>
      </c>
      <c r="H90" s="13"/>
      <c r="I90" s="13"/>
    </row>
    <row r="91" customFormat="false" ht="168.75" hidden="false" customHeight="true" outlineLevel="0" collapsed="false">
      <c r="A91" s="11" t="s">
        <v>50</v>
      </c>
      <c r="B91" s="11" t="s">
        <v>51</v>
      </c>
      <c r="C91" s="11" t="s">
        <v>277</v>
      </c>
      <c r="D91" s="11" t="s">
        <v>278</v>
      </c>
      <c r="E91" s="12" t="s">
        <v>53</v>
      </c>
      <c r="F91" s="12" t="s">
        <v>54</v>
      </c>
      <c r="G91" s="13" t="s">
        <v>44</v>
      </c>
      <c r="H91" s="13"/>
      <c r="I91" s="13"/>
    </row>
    <row r="92" customFormat="false" ht="225" hidden="false" customHeight="true" outlineLevel="0" collapsed="false">
      <c r="A92" s="16" t="s">
        <v>50</v>
      </c>
      <c r="B92" s="16" t="s">
        <v>235</v>
      </c>
      <c r="C92" s="16" t="s">
        <v>238</v>
      </c>
      <c r="D92" s="16" t="s">
        <v>239</v>
      </c>
      <c r="E92" s="17" t="s">
        <v>279</v>
      </c>
      <c r="F92" s="17" t="s">
        <v>280</v>
      </c>
      <c r="G92" s="13"/>
      <c r="H92" s="13"/>
      <c r="I92" s="13"/>
    </row>
    <row r="93" customFormat="false" ht="225" hidden="false" customHeight="true" outlineLevel="0" collapsed="false">
      <c r="A93" s="16" t="s">
        <v>50</v>
      </c>
      <c r="B93" s="16" t="s">
        <v>235</v>
      </c>
      <c r="C93" s="16" t="s">
        <v>240</v>
      </c>
      <c r="D93" s="16" t="s">
        <v>241</v>
      </c>
      <c r="E93" s="17" t="s">
        <v>279</v>
      </c>
      <c r="F93" s="17" t="s">
        <v>280</v>
      </c>
      <c r="G93" s="13"/>
      <c r="H93" s="13"/>
      <c r="I93" s="13"/>
    </row>
    <row r="94" customFormat="false" ht="225" hidden="false" customHeight="true" outlineLevel="0" collapsed="false">
      <c r="A94" s="16" t="s">
        <v>50</v>
      </c>
      <c r="B94" s="16" t="s">
        <v>235</v>
      </c>
      <c r="C94" s="16" t="s">
        <v>242</v>
      </c>
      <c r="D94" s="16" t="s">
        <v>243</v>
      </c>
      <c r="E94" s="17" t="s">
        <v>279</v>
      </c>
      <c r="F94" s="17" t="s">
        <v>280</v>
      </c>
      <c r="G94" s="13"/>
      <c r="H94" s="13"/>
      <c r="I94" s="13"/>
    </row>
    <row r="95" customFormat="false" ht="225" hidden="false" customHeight="true" outlineLevel="0" collapsed="false">
      <c r="A95" s="16" t="s">
        <v>50</v>
      </c>
      <c r="B95" s="16" t="s">
        <v>235</v>
      </c>
      <c r="C95" s="16" t="s">
        <v>244</v>
      </c>
      <c r="D95" s="16" t="s">
        <v>203</v>
      </c>
      <c r="E95" s="17" t="s">
        <v>279</v>
      </c>
      <c r="F95" s="17" t="s">
        <v>280</v>
      </c>
      <c r="G95" s="13"/>
      <c r="H95" s="13"/>
      <c r="I95" s="13"/>
    </row>
    <row r="96" customFormat="false" ht="225" hidden="false" customHeight="true" outlineLevel="0" collapsed="false">
      <c r="A96" s="16" t="s">
        <v>50</v>
      </c>
      <c r="B96" s="16" t="s">
        <v>235</v>
      </c>
      <c r="C96" s="16" t="s">
        <v>245</v>
      </c>
      <c r="D96" s="16" t="s">
        <v>246</v>
      </c>
      <c r="E96" s="17" t="s">
        <v>279</v>
      </c>
      <c r="F96" s="17" t="s">
        <v>280</v>
      </c>
      <c r="G96" s="13"/>
      <c r="H96" s="13"/>
      <c r="I96" s="13"/>
    </row>
    <row r="97" customFormat="false" ht="225" hidden="false" customHeight="true" outlineLevel="0" collapsed="false">
      <c r="A97" s="16" t="s">
        <v>50</v>
      </c>
      <c r="B97" s="16" t="s">
        <v>235</v>
      </c>
      <c r="C97" s="16" t="s">
        <v>247</v>
      </c>
      <c r="D97" s="16" t="s">
        <v>278</v>
      </c>
      <c r="E97" s="17" t="s">
        <v>279</v>
      </c>
      <c r="F97" s="17" t="s">
        <v>280</v>
      </c>
      <c r="G97" s="13"/>
      <c r="H97" s="13"/>
      <c r="I97" s="13"/>
    </row>
    <row r="98" customFormat="false" ht="225" hidden="false" customHeight="true" outlineLevel="0" collapsed="false">
      <c r="A98" s="16" t="s">
        <v>50</v>
      </c>
      <c r="B98" s="16" t="s">
        <v>235</v>
      </c>
      <c r="C98" s="16" t="s">
        <v>249</v>
      </c>
      <c r="D98" s="16" t="s">
        <v>250</v>
      </c>
      <c r="E98" s="17" t="s">
        <v>279</v>
      </c>
      <c r="F98" s="17" t="s">
        <v>280</v>
      </c>
      <c r="G98" s="13"/>
      <c r="H98" s="13"/>
      <c r="I98" s="13"/>
    </row>
    <row r="99" customFormat="false" ht="225" hidden="false" customHeight="true" outlineLevel="0" collapsed="false">
      <c r="A99" s="16" t="s">
        <v>50</v>
      </c>
      <c r="B99" s="16" t="s">
        <v>235</v>
      </c>
      <c r="C99" s="16" t="s">
        <v>251</v>
      </c>
      <c r="D99" s="16" t="s">
        <v>203</v>
      </c>
      <c r="E99" s="17" t="s">
        <v>279</v>
      </c>
      <c r="F99" s="17" t="s">
        <v>280</v>
      </c>
      <c r="G99" s="13"/>
      <c r="H99" s="13"/>
      <c r="I99" s="13"/>
    </row>
    <row r="100" customFormat="false" ht="225" hidden="false" customHeight="true" outlineLevel="0" collapsed="false">
      <c r="A100" s="16" t="s">
        <v>50</v>
      </c>
      <c r="B100" s="16" t="s">
        <v>235</v>
      </c>
      <c r="C100" s="16" t="s">
        <v>252</v>
      </c>
      <c r="D100" s="16" t="s">
        <v>250</v>
      </c>
      <c r="E100" s="17" t="s">
        <v>279</v>
      </c>
      <c r="F100" s="17" t="s">
        <v>280</v>
      </c>
      <c r="G100" s="13"/>
      <c r="H100" s="13"/>
      <c r="I100" s="13"/>
    </row>
    <row r="101" customFormat="false" ht="225" hidden="false" customHeight="true" outlineLevel="0" collapsed="false">
      <c r="A101" s="16" t="s">
        <v>50</v>
      </c>
      <c r="B101" s="16" t="s">
        <v>235</v>
      </c>
      <c r="C101" s="16" t="s">
        <v>253</v>
      </c>
      <c r="D101" s="16" t="s">
        <v>212</v>
      </c>
      <c r="E101" s="17" t="s">
        <v>279</v>
      </c>
      <c r="F101" s="17" t="s">
        <v>280</v>
      </c>
      <c r="G101" s="13"/>
      <c r="H101" s="13"/>
      <c r="I101" s="13"/>
    </row>
    <row r="102" customFormat="false" ht="225" hidden="false" customHeight="true" outlineLevel="0" collapsed="false">
      <c r="A102" s="16" t="s">
        <v>50</v>
      </c>
      <c r="B102" s="16" t="s">
        <v>235</v>
      </c>
      <c r="C102" s="16" t="s">
        <v>254</v>
      </c>
      <c r="D102" s="16" t="s">
        <v>255</v>
      </c>
      <c r="E102" s="17" t="s">
        <v>279</v>
      </c>
      <c r="F102" s="17" t="s">
        <v>280</v>
      </c>
      <c r="G102" s="13"/>
      <c r="H102" s="13"/>
      <c r="I102" s="13"/>
    </row>
    <row r="103" customFormat="false" ht="225" hidden="false" customHeight="true" outlineLevel="0" collapsed="false">
      <c r="A103" s="16" t="s">
        <v>50</v>
      </c>
      <c r="B103" s="16" t="s">
        <v>235</v>
      </c>
      <c r="C103" s="16" t="s">
        <v>256</v>
      </c>
      <c r="D103" s="16" t="s">
        <v>257</v>
      </c>
      <c r="E103" s="17" t="s">
        <v>279</v>
      </c>
      <c r="F103" s="17" t="s">
        <v>280</v>
      </c>
      <c r="G103" s="13"/>
      <c r="H103" s="13"/>
      <c r="I103" s="13"/>
    </row>
    <row r="104" customFormat="false" ht="225" hidden="false" customHeight="true" outlineLevel="0" collapsed="false">
      <c r="A104" s="16" t="s">
        <v>50</v>
      </c>
      <c r="B104" s="16" t="s">
        <v>235</v>
      </c>
      <c r="C104" s="16" t="s">
        <v>258</v>
      </c>
      <c r="D104" s="16" t="s">
        <v>281</v>
      </c>
      <c r="E104" s="17" t="s">
        <v>279</v>
      </c>
      <c r="F104" s="17" t="s">
        <v>280</v>
      </c>
      <c r="G104" s="13"/>
      <c r="H104" s="13"/>
      <c r="I104" s="13"/>
    </row>
    <row r="105" customFormat="false" ht="225" hidden="false" customHeight="true" outlineLevel="0" collapsed="false">
      <c r="A105" s="16" t="s">
        <v>50</v>
      </c>
      <c r="B105" s="16" t="s">
        <v>235</v>
      </c>
      <c r="C105" s="16" t="s">
        <v>260</v>
      </c>
      <c r="D105" s="16" t="s">
        <v>282</v>
      </c>
      <c r="E105" s="17" t="s">
        <v>279</v>
      </c>
      <c r="F105" s="17" t="s">
        <v>280</v>
      </c>
      <c r="G105" s="13"/>
      <c r="H105" s="13"/>
      <c r="I105" s="13"/>
    </row>
    <row r="106" customFormat="false" ht="225" hidden="false" customHeight="true" outlineLevel="0" collapsed="false">
      <c r="A106" s="16" t="s">
        <v>50</v>
      </c>
      <c r="B106" s="16" t="s">
        <v>235</v>
      </c>
      <c r="C106" s="16" t="s">
        <v>263</v>
      </c>
      <c r="D106" s="16" t="s">
        <v>283</v>
      </c>
      <c r="E106" s="17" t="s">
        <v>279</v>
      </c>
      <c r="F106" s="17" t="s">
        <v>280</v>
      </c>
      <c r="G106" s="13"/>
      <c r="H106" s="13"/>
      <c r="I106" s="13"/>
    </row>
    <row r="107" customFormat="false" ht="225" hidden="false" customHeight="true" outlineLevel="0" collapsed="false">
      <c r="A107" s="16" t="s">
        <v>50</v>
      </c>
      <c r="B107" s="16" t="s">
        <v>235</v>
      </c>
      <c r="C107" s="16" t="s">
        <v>265</v>
      </c>
      <c r="D107" s="16" t="s">
        <v>284</v>
      </c>
      <c r="E107" s="17" t="s">
        <v>279</v>
      </c>
      <c r="F107" s="17" t="s">
        <v>280</v>
      </c>
      <c r="G107" s="13"/>
      <c r="H107" s="13"/>
      <c r="I107" s="13"/>
    </row>
    <row r="108" customFormat="false" ht="225" hidden="false" customHeight="true" outlineLevel="0" collapsed="false">
      <c r="A108" s="16" t="s">
        <v>50</v>
      </c>
      <c r="B108" s="16" t="s">
        <v>235</v>
      </c>
      <c r="C108" s="16" t="s">
        <v>267</v>
      </c>
      <c r="D108" s="16" t="s">
        <v>284</v>
      </c>
      <c r="E108" s="17" t="s">
        <v>279</v>
      </c>
      <c r="F108" s="17" t="s">
        <v>280</v>
      </c>
      <c r="G108" s="13"/>
      <c r="H108" s="13"/>
      <c r="I108" s="13"/>
    </row>
    <row r="109" customFormat="false" ht="225" hidden="false" customHeight="true" outlineLevel="0" collapsed="false">
      <c r="A109" s="16" t="s">
        <v>50</v>
      </c>
      <c r="B109" s="16" t="s">
        <v>235</v>
      </c>
      <c r="C109" s="16" t="s">
        <v>268</v>
      </c>
      <c r="D109" s="16" t="s">
        <v>283</v>
      </c>
      <c r="E109" s="17" t="s">
        <v>279</v>
      </c>
      <c r="F109" s="17" t="s">
        <v>280</v>
      </c>
      <c r="G109" s="13"/>
      <c r="H109" s="13"/>
      <c r="I109" s="13"/>
    </row>
    <row r="110" customFormat="false" ht="225" hidden="false" customHeight="true" outlineLevel="0" collapsed="false">
      <c r="A110" s="16" t="s">
        <v>50</v>
      </c>
      <c r="B110" s="16" t="s">
        <v>235</v>
      </c>
      <c r="C110" s="16" t="s">
        <v>269</v>
      </c>
      <c r="D110" s="16" t="s">
        <v>216</v>
      </c>
      <c r="E110" s="17" t="s">
        <v>279</v>
      </c>
      <c r="F110" s="17" t="s">
        <v>280</v>
      </c>
      <c r="G110" s="13"/>
      <c r="H110" s="13"/>
      <c r="I110" s="13"/>
    </row>
    <row r="111" customFormat="false" ht="225" hidden="false" customHeight="true" outlineLevel="0" collapsed="false">
      <c r="A111" s="16" t="s">
        <v>50</v>
      </c>
      <c r="B111" s="16" t="s">
        <v>235</v>
      </c>
      <c r="C111" s="16" t="s">
        <v>271</v>
      </c>
      <c r="D111" s="16" t="s">
        <v>272</v>
      </c>
      <c r="E111" s="17" t="s">
        <v>279</v>
      </c>
      <c r="F111" s="17" t="s">
        <v>280</v>
      </c>
      <c r="G111" s="13"/>
      <c r="H111" s="13"/>
      <c r="I111" s="13"/>
    </row>
    <row r="112" customFormat="false" ht="225" hidden="false" customHeight="true" outlineLevel="0" collapsed="false">
      <c r="A112" s="16" t="s">
        <v>50</v>
      </c>
      <c r="B112" s="16" t="s">
        <v>235</v>
      </c>
      <c r="C112" s="16" t="s">
        <v>273</v>
      </c>
      <c r="D112" s="16" t="s">
        <v>274</v>
      </c>
      <c r="E112" s="17" t="s">
        <v>279</v>
      </c>
      <c r="F112" s="17" t="s">
        <v>280</v>
      </c>
      <c r="G112" s="13"/>
      <c r="H112" s="13"/>
      <c r="I112" s="13"/>
    </row>
    <row r="113" customFormat="false" ht="225" hidden="false" customHeight="true" outlineLevel="0" collapsed="false">
      <c r="A113" s="16" t="s">
        <v>50</v>
      </c>
      <c r="B113" s="16" t="s">
        <v>235</v>
      </c>
      <c r="C113" s="16" t="s">
        <v>275</v>
      </c>
      <c r="D113" s="16" t="s">
        <v>208</v>
      </c>
      <c r="E113" s="17" t="s">
        <v>279</v>
      </c>
      <c r="F113" s="17" t="s">
        <v>280</v>
      </c>
      <c r="G113" s="13"/>
      <c r="H113" s="13"/>
      <c r="I113" s="13"/>
    </row>
    <row r="114" customFormat="false" ht="225" hidden="false" customHeight="true" outlineLevel="0" collapsed="false">
      <c r="A114" s="16" t="s">
        <v>50</v>
      </c>
      <c r="B114" s="16" t="s">
        <v>235</v>
      </c>
      <c r="C114" s="16" t="s">
        <v>276</v>
      </c>
      <c r="D114" s="16" t="s">
        <v>214</v>
      </c>
      <c r="E114" s="17" t="s">
        <v>279</v>
      </c>
      <c r="F114" s="17" t="s">
        <v>280</v>
      </c>
      <c r="G114" s="13"/>
      <c r="H114" s="13"/>
      <c r="I114" s="13"/>
    </row>
    <row r="115" customFormat="false" ht="225" hidden="false" customHeight="true" outlineLevel="0" collapsed="false">
      <c r="A115" s="16" t="s">
        <v>50</v>
      </c>
      <c r="B115" s="16" t="s">
        <v>235</v>
      </c>
      <c r="C115" s="16" t="s">
        <v>277</v>
      </c>
      <c r="D115" s="16" t="s">
        <v>283</v>
      </c>
      <c r="E115" s="17" t="s">
        <v>279</v>
      </c>
      <c r="F115" s="17" t="s">
        <v>280</v>
      </c>
      <c r="G115" s="13"/>
      <c r="H115" s="13"/>
      <c r="I115" s="13"/>
    </row>
    <row r="116" customFormat="false" ht="191.25" hidden="false" customHeight="true" outlineLevel="0" collapsed="false">
      <c r="A116" s="16" t="s">
        <v>50</v>
      </c>
      <c r="B116" s="16" t="s">
        <v>193</v>
      </c>
      <c r="C116" s="16" t="s">
        <v>238</v>
      </c>
      <c r="D116" s="16" t="s">
        <v>239</v>
      </c>
      <c r="E116" s="17" t="s">
        <v>285</v>
      </c>
      <c r="F116" s="17" t="s">
        <v>286</v>
      </c>
      <c r="G116" s="13"/>
      <c r="H116" s="13"/>
      <c r="I116" s="13"/>
    </row>
    <row r="117" customFormat="false" ht="191.25" hidden="false" customHeight="true" outlineLevel="0" collapsed="false">
      <c r="A117" s="16" t="s">
        <v>50</v>
      </c>
      <c r="B117" s="16" t="s">
        <v>193</v>
      </c>
      <c r="C117" s="16" t="s">
        <v>240</v>
      </c>
      <c r="D117" s="16" t="s">
        <v>241</v>
      </c>
      <c r="E117" s="17" t="s">
        <v>285</v>
      </c>
      <c r="F117" s="17" t="s">
        <v>286</v>
      </c>
      <c r="G117" s="13"/>
      <c r="H117" s="13"/>
      <c r="I117" s="13"/>
    </row>
    <row r="118" customFormat="false" ht="191.25" hidden="false" customHeight="true" outlineLevel="0" collapsed="false">
      <c r="A118" s="16" t="s">
        <v>50</v>
      </c>
      <c r="B118" s="16" t="s">
        <v>193</v>
      </c>
      <c r="C118" s="16" t="s">
        <v>242</v>
      </c>
      <c r="D118" s="16" t="s">
        <v>243</v>
      </c>
      <c r="E118" s="17" t="s">
        <v>285</v>
      </c>
      <c r="F118" s="17" t="s">
        <v>286</v>
      </c>
      <c r="G118" s="13"/>
      <c r="H118" s="13"/>
      <c r="I118" s="13"/>
    </row>
    <row r="119" customFormat="false" ht="191.25" hidden="false" customHeight="true" outlineLevel="0" collapsed="false">
      <c r="A119" s="16" t="s">
        <v>50</v>
      </c>
      <c r="B119" s="16" t="s">
        <v>193</v>
      </c>
      <c r="C119" s="16" t="s">
        <v>244</v>
      </c>
      <c r="D119" s="16" t="s">
        <v>203</v>
      </c>
      <c r="E119" s="17" t="s">
        <v>285</v>
      </c>
      <c r="F119" s="17" t="s">
        <v>286</v>
      </c>
      <c r="G119" s="13"/>
      <c r="H119" s="13"/>
      <c r="I119" s="13"/>
    </row>
    <row r="120" customFormat="false" ht="191.25" hidden="false" customHeight="true" outlineLevel="0" collapsed="false">
      <c r="A120" s="16" t="s">
        <v>50</v>
      </c>
      <c r="B120" s="16" t="s">
        <v>193</v>
      </c>
      <c r="C120" s="16" t="s">
        <v>245</v>
      </c>
      <c r="D120" s="16" t="s">
        <v>246</v>
      </c>
      <c r="E120" s="17" t="s">
        <v>285</v>
      </c>
      <c r="F120" s="17" t="s">
        <v>286</v>
      </c>
      <c r="G120" s="13"/>
      <c r="H120" s="13"/>
      <c r="I120" s="13"/>
    </row>
    <row r="121" customFormat="false" ht="191.25" hidden="false" customHeight="true" outlineLevel="0" collapsed="false">
      <c r="A121" s="16" t="s">
        <v>50</v>
      </c>
      <c r="B121" s="16" t="s">
        <v>193</v>
      </c>
      <c r="C121" s="16" t="s">
        <v>247</v>
      </c>
      <c r="D121" s="16" t="s">
        <v>278</v>
      </c>
      <c r="E121" s="17" t="s">
        <v>285</v>
      </c>
      <c r="F121" s="17" t="s">
        <v>286</v>
      </c>
      <c r="G121" s="13"/>
      <c r="H121" s="13"/>
      <c r="I121" s="13"/>
    </row>
    <row r="122" customFormat="false" ht="191.25" hidden="false" customHeight="true" outlineLevel="0" collapsed="false">
      <c r="A122" s="16" t="s">
        <v>50</v>
      </c>
      <c r="B122" s="16" t="s">
        <v>193</v>
      </c>
      <c r="C122" s="16" t="s">
        <v>249</v>
      </c>
      <c r="D122" s="16" t="s">
        <v>250</v>
      </c>
      <c r="E122" s="17" t="s">
        <v>285</v>
      </c>
      <c r="F122" s="17" t="s">
        <v>286</v>
      </c>
      <c r="G122" s="13"/>
      <c r="H122" s="13"/>
      <c r="I122" s="13"/>
    </row>
    <row r="123" customFormat="false" ht="191.25" hidden="false" customHeight="true" outlineLevel="0" collapsed="false">
      <c r="A123" s="16" t="s">
        <v>50</v>
      </c>
      <c r="B123" s="16" t="s">
        <v>193</v>
      </c>
      <c r="C123" s="16" t="s">
        <v>251</v>
      </c>
      <c r="D123" s="16" t="s">
        <v>203</v>
      </c>
      <c r="E123" s="17" t="s">
        <v>285</v>
      </c>
      <c r="F123" s="17" t="s">
        <v>286</v>
      </c>
      <c r="G123" s="13"/>
      <c r="H123" s="13"/>
      <c r="I123" s="13"/>
    </row>
    <row r="124" customFormat="false" ht="191.25" hidden="false" customHeight="true" outlineLevel="0" collapsed="false">
      <c r="A124" s="16" t="s">
        <v>50</v>
      </c>
      <c r="B124" s="16" t="s">
        <v>193</v>
      </c>
      <c r="C124" s="16" t="s">
        <v>252</v>
      </c>
      <c r="D124" s="16" t="s">
        <v>250</v>
      </c>
      <c r="E124" s="17" t="s">
        <v>285</v>
      </c>
      <c r="F124" s="17" t="s">
        <v>286</v>
      </c>
      <c r="G124" s="13"/>
      <c r="H124" s="13"/>
      <c r="I124" s="13"/>
    </row>
    <row r="125" customFormat="false" ht="191.25" hidden="false" customHeight="true" outlineLevel="0" collapsed="false">
      <c r="A125" s="16" t="s">
        <v>50</v>
      </c>
      <c r="B125" s="16" t="s">
        <v>193</v>
      </c>
      <c r="C125" s="16" t="s">
        <v>253</v>
      </c>
      <c r="D125" s="16" t="s">
        <v>212</v>
      </c>
      <c r="E125" s="17" t="s">
        <v>285</v>
      </c>
      <c r="F125" s="17" t="s">
        <v>286</v>
      </c>
      <c r="G125" s="13"/>
      <c r="H125" s="13"/>
      <c r="I125" s="13"/>
    </row>
    <row r="126" customFormat="false" ht="191.25" hidden="false" customHeight="true" outlineLevel="0" collapsed="false">
      <c r="A126" s="16" t="s">
        <v>50</v>
      </c>
      <c r="B126" s="16" t="s">
        <v>193</v>
      </c>
      <c r="C126" s="16" t="s">
        <v>254</v>
      </c>
      <c r="D126" s="16" t="s">
        <v>255</v>
      </c>
      <c r="E126" s="17" t="s">
        <v>285</v>
      </c>
      <c r="F126" s="17" t="s">
        <v>286</v>
      </c>
      <c r="G126" s="13"/>
      <c r="H126" s="13"/>
      <c r="I126" s="13"/>
    </row>
    <row r="127" customFormat="false" ht="191.25" hidden="false" customHeight="true" outlineLevel="0" collapsed="false">
      <c r="A127" s="16" t="s">
        <v>50</v>
      </c>
      <c r="B127" s="16" t="s">
        <v>193</v>
      </c>
      <c r="C127" s="16" t="s">
        <v>256</v>
      </c>
      <c r="D127" s="16" t="s">
        <v>257</v>
      </c>
      <c r="E127" s="17" t="s">
        <v>285</v>
      </c>
      <c r="F127" s="17" t="s">
        <v>286</v>
      </c>
      <c r="G127" s="13"/>
      <c r="H127" s="13"/>
      <c r="I127" s="13"/>
    </row>
    <row r="128" customFormat="false" ht="191.25" hidden="false" customHeight="true" outlineLevel="0" collapsed="false">
      <c r="A128" s="16" t="s">
        <v>50</v>
      </c>
      <c r="B128" s="16" t="s">
        <v>193</v>
      </c>
      <c r="C128" s="16" t="s">
        <v>258</v>
      </c>
      <c r="D128" s="16" t="s">
        <v>259</v>
      </c>
      <c r="E128" s="17" t="s">
        <v>285</v>
      </c>
      <c r="F128" s="17" t="s">
        <v>286</v>
      </c>
      <c r="G128" s="13"/>
      <c r="H128" s="13"/>
      <c r="I128" s="13"/>
    </row>
    <row r="129" customFormat="false" ht="191.25" hidden="false" customHeight="true" outlineLevel="0" collapsed="false">
      <c r="A129" s="16" t="s">
        <v>50</v>
      </c>
      <c r="B129" s="16" t="s">
        <v>193</v>
      </c>
      <c r="C129" s="16" t="s">
        <v>260</v>
      </c>
      <c r="D129" s="16" t="s">
        <v>261</v>
      </c>
      <c r="E129" s="17" t="s">
        <v>285</v>
      </c>
      <c r="F129" s="17" t="s">
        <v>286</v>
      </c>
      <c r="G129" s="13"/>
      <c r="H129" s="13"/>
      <c r="I129" s="13"/>
    </row>
    <row r="130" customFormat="false" ht="191.25" hidden="false" customHeight="true" outlineLevel="0" collapsed="false">
      <c r="A130" s="16" t="s">
        <v>50</v>
      </c>
      <c r="B130" s="16" t="s">
        <v>193</v>
      </c>
      <c r="C130" s="16" t="s">
        <v>263</v>
      </c>
      <c r="D130" s="16" t="s">
        <v>283</v>
      </c>
      <c r="E130" s="17" t="s">
        <v>285</v>
      </c>
      <c r="F130" s="17" t="s">
        <v>286</v>
      </c>
      <c r="G130" s="13"/>
      <c r="H130" s="13"/>
      <c r="I130" s="13"/>
    </row>
    <row r="131" customFormat="false" ht="191.25" hidden="false" customHeight="true" outlineLevel="0" collapsed="false">
      <c r="A131" s="16" t="s">
        <v>50</v>
      </c>
      <c r="B131" s="16" t="s">
        <v>193</v>
      </c>
      <c r="C131" s="16" t="s">
        <v>265</v>
      </c>
      <c r="D131" s="16" t="s">
        <v>284</v>
      </c>
      <c r="E131" s="17" t="s">
        <v>285</v>
      </c>
      <c r="F131" s="17" t="s">
        <v>286</v>
      </c>
      <c r="G131" s="13"/>
      <c r="H131" s="13"/>
      <c r="I131" s="13"/>
    </row>
    <row r="132" customFormat="false" ht="191.25" hidden="false" customHeight="true" outlineLevel="0" collapsed="false">
      <c r="A132" s="16" t="s">
        <v>50</v>
      </c>
      <c r="B132" s="16" t="s">
        <v>193</v>
      </c>
      <c r="C132" s="16" t="s">
        <v>267</v>
      </c>
      <c r="D132" s="16" t="s">
        <v>284</v>
      </c>
      <c r="E132" s="17" t="s">
        <v>285</v>
      </c>
      <c r="F132" s="17" t="s">
        <v>286</v>
      </c>
      <c r="G132" s="13"/>
      <c r="H132" s="13"/>
      <c r="I132" s="13"/>
    </row>
    <row r="133" customFormat="false" ht="191.25" hidden="false" customHeight="true" outlineLevel="0" collapsed="false">
      <c r="A133" s="16" t="s">
        <v>50</v>
      </c>
      <c r="B133" s="16" t="s">
        <v>193</v>
      </c>
      <c r="C133" s="16" t="s">
        <v>268</v>
      </c>
      <c r="D133" s="16" t="s">
        <v>283</v>
      </c>
      <c r="E133" s="17" t="s">
        <v>285</v>
      </c>
      <c r="F133" s="17" t="s">
        <v>286</v>
      </c>
      <c r="G133" s="13"/>
      <c r="H133" s="13"/>
      <c r="I133" s="13"/>
    </row>
    <row r="134" customFormat="false" ht="191.25" hidden="false" customHeight="true" outlineLevel="0" collapsed="false">
      <c r="A134" s="16" t="s">
        <v>50</v>
      </c>
      <c r="B134" s="16" t="s">
        <v>193</v>
      </c>
      <c r="C134" s="16" t="s">
        <v>269</v>
      </c>
      <c r="D134" s="16" t="s">
        <v>270</v>
      </c>
      <c r="E134" s="17" t="s">
        <v>285</v>
      </c>
      <c r="F134" s="17" t="s">
        <v>286</v>
      </c>
      <c r="G134" s="13"/>
      <c r="H134" s="13"/>
      <c r="I134" s="13"/>
    </row>
    <row r="135" customFormat="false" ht="191.25" hidden="false" customHeight="true" outlineLevel="0" collapsed="false">
      <c r="A135" s="16" t="s">
        <v>50</v>
      </c>
      <c r="B135" s="16" t="s">
        <v>193</v>
      </c>
      <c r="C135" s="16" t="s">
        <v>271</v>
      </c>
      <c r="D135" s="16" t="s">
        <v>272</v>
      </c>
      <c r="E135" s="17" t="s">
        <v>285</v>
      </c>
      <c r="F135" s="17" t="s">
        <v>286</v>
      </c>
      <c r="G135" s="13"/>
      <c r="H135" s="13"/>
      <c r="I135" s="13"/>
    </row>
    <row r="136" customFormat="false" ht="191.25" hidden="false" customHeight="true" outlineLevel="0" collapsed="false">
      <c r="A136" s="16" t="s">
        <v>50</v>
      </c>
      <c r="B136" s="16" t="s">
        <v>193</v>
      </c>
      <c r="C136" s="16" t="s">
        <v>273</v>
      </c>
      <c r="D136" s="16" t="s">
        <v>274</v>
      </c>
      <c r="E136" s="17" t="s">
        <v>285</v>
      </c>
      <c r="F136" s="17" t="s">
        <v>286</v>
      </c>
      <c r="G136" s="13"/>
      <c r="H136" s="13"/>
      <c r="I136" s="13"/>
    </row>
    <row r="137" customFormat="false" ht="191.25" hidden="false" customHeight="true" outlineLevel="0" collapsed="false">
      <c r="A137" s="16" t="s">
        <v>50</v>
      </c>
      <c r="B137" s="16" t="s">
        <v>193</v>
      </c>
      <c r="C137" s="16" t="s">
        <v>275</v>
      </c>
      <c r="D137" s="16" t="s">
        <v>208</v>
      </c>
      <c r="E137" s="17" t="s">
        <v>285</v>
      </c>
      <c r="F137" s="17" t="s">
        <v>286</v>
      </c>
      <c r="G137" s="13"/>
      <c r="H137" s="13"/>
      <c r="I137" s="13"/>
    </row>
    <row r="138" customFormat="false" ht="191.25" hidden="false" customHeight="true" outlineLevel="0" collapsed="false">
      <c r="A138" s="16" t="s">
        <v>50</v>
      </c>
      <c r="B138" s="16" t="s">
        <v>193</v>
      </c>
      <c r="C138" s="16" t="s">
        <v>276</v>
      </c>
      <c r="D138" s="16" t="s">
        <v>214</v>
      </c>
      <c r="E138" s="17" t="s">
        <v>285</v>
      </c>
      <c r="F138" s="17" t="s">
        <v>286</v>
      </c>
      <c r="G138" s="13"/>
      <c r="H138" s="13"/>
      <c r="I138" s="13"/>
    </row>
    <row r="139" customFormat="false" ht="191.25" hidden="false" customHeight="true" outlineLevel="0" collapsed="false">
      <c r="A139" s="16" t="s">
        <v>50</v>
      </c>
      <c r="B139" s="16" t="s">
        <v>193</v>
      </c>
      <c r="C139" s="16" t="s">
        <v>277</v>
      </c>
      <c r="D139" s="16" t="s">
        <v>283</v>
      </c>
      <c r="E139" s="17" t="s">
        <v>285</v>
      </c>
      <c r="F139" s="17" t="s">
        <v>286</v>
      </c>
      <c r="G139" s="13"/>
      <c r="H139" s="13"/>
      <c r="I139" s="13"/>
    </row>
    <row r="140" customFormat="false" ht="45.75" hidden="false" customHeight="true" outlineLevel="0" collapsed="false">
      <c r="A140" s="16" t="s">
        <v>287</v>
      </c>
      <c r="B140" s="16" t="s">
        <v>193</v>
      </c>
      <c r="C140" s="16" t="s">
        <v>288</v>
      </c>
      <c r="D140" s="16" t="s">
        <v>289</v>
      </c>
      <c r="E140" s="17" t="s">
        <v>290</v>
      </c>
      <c r="F140" s="17" t="s">
        <v>291</v>
      </c>
      <c r="G140" s="13"/>
      <c r="H140" s="13"/>
      <c r="I140" s="13"/>
    </row>
    <row r="141" customFormat="false" ht="45.75" hidden="false" customHeight="true" outlineLevel="0" collapsed="false">
      <c r="A141" s="16" t="s">
        <v>287</v>
      </c>
      <c r="B141" s="16" t="s">
        <v>193</v>
      </c>
      <c r="C141" s="16" t="s">
        <v>292</v>
      </c>
      <c r="D141" s="16" t="s">
        <v>293</v>
      </c>
      <c r="E141" s="17" t="s">
        <v>290</v>
      </c>
      <c r="F141" s="17" t="s">
        <v>291</v>
      </c>
      <c r="G141" s="13"/>
      <c r="H141" s="13"/>
      <c r="I141" s="13"/>
    </row>
    <row r="142" customFormat="false" ht="45.75" hidden="false" customHeight="true" outlineLevel="0" collapsed="false">
      <c r="A142" s="16" t="s">
        <v>287</v>
      </c>
      <c r="B142" s="16" t="s">
        <v>193</v>
      </c>
      <c r="C142" s="16" t="s">
        <v>294</v>
      </c>
      <c r="D142" s="16" t="s">
        <v>270</v>
      </c>
      <c r="E142" s="17" t="s">
        <v>290</v>
      </c>
      <c r="F142" s="17" t="s">
        <v>291</v>
      </c>
      <c r="G142" s="13"/>
      <c r="H142" s="13"/>
      <c r="I142" s="13"/>
    </row>
    <row r="143" customFormat="false" ht="45.75" hidden="false" customHeight="true" outlineLevel="0" collapsed="false">
      <c r="A143" s="16" t="s">
        <v>287</v>
      </c>
      <c r="B143" s="16" t="s">
        <v>193</v>
      </c>
      <c r="C143" s="16" t="s">
        <v>295</v>
      </c>
      <c r="D143" s="16" t="s">
        <v>289</v>
      </c>
      <c r="E143" s="17" t="s">
        <v>290</v>
      </c>
      <c r="F143" s="17" t="s">
        <v>291</v>
      </c>
      <c r="G143" s="13"/>
      <c r="H143" s="13"/>
      <c r="I143" s="13"/>
    </row>
    <row r="144" customFormat="false" ht="45.75" hidden="false" customHeight="true" outlineLevel="0" collapsed="false">
      <c r="A144" s="16" t="s">
        <v>287</v>
      </c>
      <c r="B144" s="16" t="s">
        <v>193</v>
      </c>
      <c r="C144" s="16" t="s">
        <v>296</v>
      </c>
      <c r="D144" s="16" t="s">
        <v>212</v>
      </c>
      <c r="E144" s="17" t="s">
        <v>290</v>
      </c>
      <c r="F144" s="17" t="s">
        <v>291</v>
      </c>
      <c r="G144" s="13"/>
      <c r="H144" s="13"/>
      <c r="I144" s="13"/>
    </row>
    <row r="145" customFormat="false" ht="45.75" hidden="false" customHeight="true" outlineLevel="0" collapsed="false">
      <c r="A145" s="16" t="s">
        <v>287</v>
      </c>
      <c r="B145" s="16" t="s">
        <v>193</v>
      </c>
      <c r="C145" s="16" t="s">
        <v>297</v>
      </c>
      <c r="D145" s="16" t="s">
        <v>298</v>
      </c>
      <c r="E145" s="17" t="s">
        <v>290</v>
      </c>
      <c r="F145" s="17" t="s">
        <v>291</v>
      </c>
      <c r="G145" s="13"/>
      <c r="H145" s="13"/>
      <c r="I145" s="13"/>
    </row>
    <row r="146" customFormat="false" ht="45.75" hidden="false" customHeight="true" outlineLevel="0" collapsed="false">
      <c r="A146" s="16" t="s">
        <v>287</v>
      </c>
      <c r="B146" s="16" t="s">
        <v>193</v>
      </c>
      <c r="C146" s="16" t="s">
        <v>299</v>
      </c>
      <c r="D146" s="16"/>
      <c r="E146" s="17" t="s">
        <v>290</v>
      </c>
      <c r="F146" s="17" t="s">
        <v>291</v>
      </c>
      <c r="G146" s="13"/>
      <c r="H146" s="13"/>
      <c r="I146" s="13"/>
    </row>
    <row r="147" customFormat="false" ht="45.75" hidden="false" customHeight="true" outlineLevel="0" collapsed="false">
      <c r="A147" s="16" t="s">
        <v>287</v>
      </c>
      <c r="B147" s="16" t="s">
        <v>193</v>
      </c>
      <c r="C147" s="16" t="s">
        <v>300</v>
      </c>
      <c r="D147" s="16" t="s">
        <v>220</v>
      </c>
      <c r="E147" s="17" t="s">
        <v>290</v>
      </c>
      <c r="F147" s="17" t="s">
        <v>291</v>
      </c>
      <c r="G147" s="13"/>
      <c r="H147" s="13"/>
      <c r="I147" s="13"/>
    </row>
    <row r="148" customFormat="false" ht="45.75" hidden="false" customHeight="true" outlineLevel="0" collapsed="false">
      <c r="A148" s="16" t="s">
        <v>287</v>
      </c>
      <c r="B148" s="16" t="s">
        <v>193</v>
      </c>
      <c r="C148" s="16" t="s">
        <v>301</v>
      </c>
      <c r="D148" s="16" t="s">
        <v>302</v>
      </c>
      <c r="E148" s="17" t="s">
        <v>290</v>
      </c>
      <c r="F148" s="17" t="s">
        <v>291</v>
      </c>
      <c r="G148" s="13"/>
      <c r="H148" s="13"/>
      <c r="I148" s="13"/>
    </row>
    <row r="149" customFormat="false" ht="45.75" hidden="false" customHeight="true" outlineLevel="0" collapsed="false">
      <c r="A149" s="16" t="s">
        <v>287</v>
      </c>
      <c r="B149" s="16" t="s">
        <v>51</v>
      </c>
      <c r="C149" s="16" t="s">
        <v>288</v>
      </c>
      <c r="D149" s="16" t="s">
        <v>289</v>
      </c>
      <c r="E149" s="17" t="s">
        <v>303</v>
      </c>
      <c r="F149" s="17" t="s">
        <v>291</v>
      </c>
      <c r="G149" s="13"/>
      <c r="H149" s="13"/>
      <c r="I149" s="13"/>
    </row>
    <row r="150" customFormat="false" ht="45.75" hidden="false" customHeight="true" outlineLevel="0" collapsed="false">
      <c r="A150" s="16" t="s">
        <v>287</v>
      </c>
      <c r="B150" s="16" t="s">
        <v>51</v>
      </c>
      <c r="C150" s="16" t="s">
        <v>292</v>
      </c>
      <c r="D150" s="16" t="s">
        <v>270</v>
      </c>
      <c r="E150" s="17" t="s">
        <v>303</v>
      </c>
      <c r="F150" s="17" t="s">
        <v>291</v>
      </c>
      <c r="G150" s="13"/>
      <c r="H150" s="13"/>
      <c r="I150" s="13"/>
    </row>
    <row r="151" customFormat="false" ht="45.75" hidden="false" customHeight="true" outlineLevel="0" collapsed="false">
      <c r="A151" s="16" t="s">
        <v>287</v>
      </c>
      <c r="B151" s="16" t="s">
        <v>51</v>
      </c>
      <c r="C151" s="16" t="s">
        <v>294</v>
      </c>
      <c r="D151" s="16" t="s">
        <v>270</v>
      </c>
      <c r="E151" s="17" t="s">
        <v>303</v>
      </c>
      <c r="F151" s="17" t="s">
        <v>291</v>
      </c>
      <c r="G151" s="13"/>
      <c r="H151" s="13"/>
      <c r="I151" s="13"/>
    </row>
    <row r="152" customFormat="false" ht="45.75" hidden="false" customHeight="true" outlineLevel="0" collapsed="false">
      <c r="A152" s="16" t="s">
        <v>287</v>
      </c>
      <c r="B152" s="16" t="s">
        <v>51</v>
      </c>
      <c r="C152" s="16" t="s">
        <v>295</v>
      </c>
      <c r="D152" s="16" t="s">
        <v>289</v>
      </c>
      <c r="E152" s="17" t="s">
        <v>303</v>
      </c>
      <c r="F152" s="17" t="s">
        <v>291</v>
      </c>
      <c r="G152" s="13"/>
      <c r="H152" s="13"/>
      <c r="I152" s="13"/>
    </row>
    <row r="153" customFormat="false" ht="45.75" hidden="false" customHeight="true" outlineLevel="0" collapsed="false">
      <c r="A153" s="16" t="s">
        <v>287</v>
      </c>
      <c r="B153" s="16" t="s">
        <v>51</v>
      </c>
      <c r="C153" s="16" t="s">
        <v>296</v>
      </c>
      <c r="D153" s="16" t="s">
        <v>212</v>
      </c>
      <c r="E153" s="17" t="s">
        <v>303</v>
      </c>
      <c r="F153" s="17" t="s">
        <v>291</v>
      </c>
      <c r="G153" s="13"/>
      <c r="H153" s="13"/>
      <c r="I153" s="13"/>
    </row>
    <row r="154" customFormat="false" ht="45.75" hidden="false" customHeight="true" outlineLevel="0" collapsed="false">
      <c r="A154" s="16" t="s">
        <v>287</v>
      </c>
      <c r="B154" s="16" t="s">
        <v>51</v>
      </c>
      <c r="C154" s="16" t="s">
        <v>297</v>
      </c>
      <c r="D154" s="16" t="s">
        <v>298</v>
      </c>
      <c r="E154" s="17" t="s">
        <v>303</v>
      </c>
      <c r="F154" s="17" t="s">
        <v>291</v>
      </c>
      <c r="G154" s="13"/>
      <c r="H154" s="13"/>
      <c r="I154" s="13"/>
    </row>
    <row r="155" customFormat="false" ht="45.75" hidden="false" customHeight="true" outlineLevel="0" collapsed="false">
      <c r="A155" s="16" t="s">
        <v>287</v>
      </c>
      <c r="B155" s="16" t="s">
        <v>51</v>
      </c>
      <c r="C155" s="16" t="s">
        <v>299</v>
      </c>
      <c r="D155" s="16"/>
      <c r="E155" s="17" t="s">
        <v>303</v>
      </c>
      <c r="F155" s="17" t="s">
        <v>291</v>
      </c>
      <c r="G155" s="13"/>
      <c r="H155" s="13"/>
      <c r="I155" s="13"/>
    </row>
    <row r="156" customFormat="false" ht="45.75" hidden="false" customHeight="true" outlineLevel="0" collapsed="false">
      <c r="A156" s="16" t="s">
        <v>287</v>
      </c>
      <c r="B156" s="16" t="s">
        <v>51</v>
      </c>
      <c r="C156" s="16" t="s">
        <v>300</v>
      </c>
      <c r="D156" s="16" t="s">
        <v>220</v>
      </c>
      <c r="E156" s="17" t="s">
        <v>303</v>
      </c>
      <c r="F156" s="17" t="s">
        <v>291</v>
      </c>
      <c r="G156" s="13"/>
      <c r="H156" s="13"/>
      <c r="I156" s="13"/>
    </row>
    <row r="157" customFormat="false" ht="45.75" hidden="false" customHeight="true" outlineLevel="0" collapsed="false">
      <c r="A157" s="16" t="s">
        <v>287</v>
      </c>
      <c r="B157" s="16" t="s">
        <v>51</v>
      </c>
      <c r="C157" s="16" t="s">
        <v>301</v>
      </c>
      <c r="D157" s="16" t="s">
        <v>302</v>
      </c>
      <c r="E157" s="17" t="s">
        <v>303</v>
      </c>
      <c r="F157" s="17" t="s">
        <v>291</v>
      </c>
      <c r="G157" s="13"/>
      <c r="H157" s="13"/>
      <c r="I157" s="13"/>
    </row>
    <row r="158" customFormat="false" ht="180" hidden="false" customHeight="true" outlineLevel="0" collapsed="false">
      <c r="A158" s="16" t="s">
        <v>287</v>
      </c>
      <c r="B158" s="16" t="s">
        <v>235</v>
      </c>
      <c r="C158" s="16" t="s">
        <v>288</v>
      </c>
      <c r="D158" s="16" t="s">
        <v>270</v>
      </c>
      <c r="E158" s="17" t="s">
        <v>304</v>
      </c>
      <c r="F158" s="17" t="s">
        <v>305</v>
      </c>
      <c r="G158" s="13"/>
      <c r="H158" s="13"/>
      <c r="I158" s="13"/>
    </row>
    <row r="159" customFormat="false" ht="180" hidden="false" customHeight="true" outlineLevel="0" collapsed="false">
      <c r="A159" s="16" t="s">
        <v>287</v>
      </c>
      <c r="B159" s="16" t="s">
        <v>235</v>
      </c>
      <c r="C159" s="16" t="s">
        <v>292</v>
      </c>
      <c r="D159" s="16" t="s">
        <v>270</v>
      </c>
      <c r="E159" s="17" t="s">
        <v>304</v>
      </c>
      <c r="F159" s="17" t="s">
        <v>305</v>
      </c>
      <c r="G159" s="13"/>
      <c r="H159" s="13"/>
      <c r="I159" s="13"/>
    </row>
    <row r="160" customFormat="false" ht="180" hidden="false" customHeight="true" outlineLevel="0" collapsed="false">
      <c r="A160" s="16" t="s">
        <v>287</v>
      </c>
      <c r="B160" s="16" t="s">
        <v>235</v>
      </c>
      <c r="C160" s="16" t="s">
        <v>294</v>
      </c>
      <c r="D160" s="16" t="s">
        <v>270</v>
      </c>
      <c r="E160" s="17" t="s">
        <v>304</v>
      </c>
      <c r="F160" s="17" t="s">
        <v>305</v>
      </c>
      <c r="G160" s="13"/>
      <c r="H160" s="13"/>
      <c r="I160" s="13"/>
    </row>
    <row r="161" customFormat="false" ht="180" hidden="false" customHeight="true" outlineLevel="0" collapsed="false">
      <c r="A161" s="16" t="s">
        <v>287</v>
      </c>
      <c r="B161" s="16" t="s">
        <v>235</v>
      </c>
      <c r="C161" s="16" t="s">
        <v>295</v>
      </c>
      <c r="D161" s="16" t="s">
        <v>289</v>
      </c>
      <c r="E161" s="17" t="s">
        <v>304</v>
      </c>
      <c r="F161" s="17" t="s">
        <v>305</v>
      </c>
      <c r="G161" s="13"/>
      <c r="H161" s="13"/>
      <c r="I161" s="13"/>
    </row>
    <row r="162" customFormat="false" ht="180" hidden="false" customHeight="true" outlineLevel="0" collapsed="false">
      <c r="A162" s="16" t="s">
        <v>287</v>
      </c>
      <c r="B162" s="16" t="s">
        <v>235</v>
      </c>
      <c r="C162" s="16" t="s">
        <v>296</v>
      </c>
      <c r="D162" s="16" t="s">
        <v>212</v>
      </c>
      <c r="E162" s="17" t="s">
        <v>304</v>
      </c>
      <c r="F162" s="17" t="s">
        <v>305</v>
      </c>
      <c r="G162" s="13"/>
      <c r="H162" s="13"/>
      <c r="I162" s="13"/>
    </row>
    <row r="163" customFormat="false" ht="180" hidden="false" customHeight="true" outlineLevel="0" collapsed="false">
      <c r="A163" s="16" t="s">
        <v>287</v>
      </c>
      <c r="B163" s="16" t="s">
        <v>235</v>
      </c>
      <c r="C163" s="16" t="s">
        <v>297</v>
      </c>
      <c r="D163" s="16" t="s">
        <v>306</v>
      </c>
      <c r="E163" s="17" t="s">
        <v>304</v>
      </c>
      <c r="F163" s="17" t="s">
        <v>305</v>
      </c>
      <c r="G163" s="13"/>
      <c r="H163" s="13"/>
      <c r="I163" s="13"/>
    </row>
    <row r="164" customFormat="false" ht="180" hidden="false" customHeight="true" outlineLevel="0" collapsed="false">
      <c r="A164" s="16" t="s">
        <v>287</v>
      </c>
      <c r="B164" s="16" t="s">
        <v>235</v>
      </c>
      <c r="C164" s="16" t="s">
        <v>299</v>
      </c>
      <c r="D164" s="16" t="s">
        <v>208</v>
      </c>
      <c r="E164" s="17" t="s">
        <v>304</v>
      </c>
      <c r="F164" s="17" t="s">
        <v>305</v>
      </c>
      <c r="G164" s="13"/>
      <c r="H164" s="13"/>
      <c r="I164" s="13"/>
    </row>
    <row r="165" customFormat="false" ht="180" hidden="false" customHeight="true" outlineLevel="0" collapsed="false">
      <c r="A165" s="16" t="s">
        <v>287</v>
      </c>
      <c r="B165" s="16" t="s">
        <v>235</v>
      </c>
      <c r="C165" s="16" t="s">
        <v>300</v>
      </c>
      <c r="D165" s="16" t="s">
        <v>212</v>
      </c>
      <c r="E165" s="17" t="s">
        <v>304</v>
      </c>
      <c r="F165" s="17" t="s">
        <v>305</v>
      </c>
      <c r="G165" s="13"/>
      <c r="H165" s="13"/>
      <c r="I165" s="13"/>
    </row>
    <row r="166" customFormat="false" ht="180" hidden="false" customHeight="true" outlineLevel="0" collapsed="false">
      <c r="A166" s="16" t="s">
        <v>287</v>
      </c>
      <c r="B166" s="16" t="s">
        <v>235</v>
      </c>
      <c r="C166" s="16" t="s">
        <v>301</v>
      </c>
      <c r="D166" s="16" t="s">
        <v>302</v>
      </c>
      <c r="E166" s="17" t="s">
        <v>304</v>
      </c>
      <c r="F166" s="17" t="s">
        <v>305</v>
      </c>
      <c r="G166" s="13"/>
      <c r="H166" s="13"/>
      <c r="I166" s="13"/>
    </row>
  </sheetData>
  <conditionalFormatting sqref="G5:G166">
    <cfRule type="cellIs" priority="2" operator="equal" aboveAverage="0" equalAverage="0" bottom="0" percent="0" rank="0" text="" dxfId="0">
      <formula>"Y"</formula>
    </cfRule>
    <cfRule type="cellIs" priority="3" operator="equal" aboveAverage="0" equalAverage="0" bottom="0" percent="0" rank="0" text="" dxfId="1">
      <formula>"N"</formula>
    </cfRule>
    <cfRule type="cellIs" priority="4" operator="equal" aboveAverage="0" equalAverage="0" bottom="0" percent="0" rank="0" text="" dxfId="2">
      <formula>"Query"</formula>
    </cfRule>
  </conditionalFormatting>
  <dataValidations count="1">
    <dataValidation allowBlank="true" error="Y if the loaded figure matches the source, N if it does not, Query if you could not find the document." errorStyle="stop" errorTitle="One of three answers" operator="between" prompt="Y, N or Query." promptTitle="Does the loaded value agree?" showDropDown="false" showErrorMessage="true" showInputMessage="true" sqref="G5:G166" type="list">
      <formula1>"Y,N,Query"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40"/>
    <col collapsed="false" customWidth="true" hidden="false" outlineLevel="0" max="3" min="3" style="1" width="20"/>
    <col collapsed="false" customWidth="true" hidden="false" outlineLevel="0" max="5" min="4" style="1" width="46"/>
    <col collapsed="false" customWidth="true" hidden="false" outlineLevel="0" max="6" min="6" style="1" width="60"/>
    <col collapsed="false" customWidth="true" hidden="false" outlineLevel="0" max="7" min="7" style="1" width="12"/>
    <col collapsed="false" customWidth="true" hidden="false" outlineLevel="0" max="8" min="8" style="1" width="18"/>
    <col collapsed="false" customWidth="true" hidden="false" outlineLevel="0" max="9" min="9" style="1" width="26"/>
  </cols>
  <sheetData>
    <row r="1" customFormat="false" ht="17.25" hidden="false" customHeight="true" outlineLevel="0" collapsed="false">
      <c r="A1" s="8" t="s">
        <v>307</v>
      </c>
    </row>
    <row r="2" customFormat="false" ht="15" hidden="false" customHeight="true" outlineLevel="0" collapsed="false">
      <c r="A2" s="9" t="s">
        <v>308</v>
      </c>
    </row>
    <row r="4" customFormat="false" ht="15" hidden="false" customHeight="true" outlineLevel="0" collapsed="false">
      <c r="A4" s="10" t="s">
        <v>309</v>
      </c>
      <c r="B4" s="10" t="s">
        <v>310</v>
      </c>
      <c r="C4" s="10" t="s">
        <v>311</v>
      </c>
      <c r="D4" s="10" t="s">
        <v>312</v>
      </c>
      <c r="E4" s="10" t="s">
        <v>33</v>
      </c>
      <c r="F4" s="10" t="s">
        <v>313</v>
      </c>
      <c r="G4" s="10" t="s">
        <v>35</v>
      </c>
      <c r="H4" s="10" t="s">
        <v>36</v>
      </c>
      <c r="I4" s="10" t="s">
        <v>37</v>
      </c>
    </row>
    <row r="5" customFormat="false" ht="79.5" hidden="false" customHeight="true" outlineLevel="0" collapsed="false">
      <c r="A5" s="14" t="s">
        <v>314</v>
      </c>
      <c r="B5" s="14" t="s">
        <v>315</v>
      </c>
      <c r="C5" s="14" t="s">
        <v>58</v>
      </c>
      <c r="D5" s="14" t="s">
        <v>64</v>
      </c>
      <c r="E5" s="15" t="s">
        <v>60</v>
      </c>
      <c r="F5" s="15" t="s">
        <v>316</v>
      </c>
      <c r="G5" s="13"/>
      <c r="H5" s="13"/>
      <c r="I5" s="13"/>
    </row>
    <row r="6" customFormat="false" ht="23.25" hidden="false" customHeight="true" outlineLevel="0" collapsed="false">
      <c r="A6" s="14" t="s">
        <v>317</v>
      </c>
      <c r="B6" s="14" t="s">
        <v>318</v>
      </c>
      <c r="C6" s="14" t="s">
        <v>58</v>
      </c>
      <c r="D6" s="14" t="s">
        <v>69</v>
      </c>
      <c r="E6" s="15" t="s">
        <v>60</v>
      </c>
      <c r="F6" s="15" t="s">
        <v>319</v>
      </c>
      <c r="G6" s="13"/>
      <c r="H6" s="13"/>
      <c r="I6" s="13"/>
    </row>
    <row r="7" customFormat="false" ht="79.5" hidden="false" customHeight="true" outlineLevel="0" collapsed="false">
      <c r="A7" s="14" t="s">
        <v>320</v>
      </c>
      <c r="B7" s="14" t="s">
        <v>321</v>
      </c>
      <c r="C7" s="14" t="s">
        <v>58</v>
      </c>
      <c r="D7" s="14" t="s">
        <v>64</v>
      </c>
      <c r="E7" s="15" t="s">
        <v>60</v>
      </c>
      <c r="F7" s="15" t="s">
        <v>322</v>
      </c>
      <c r="G7" s="13"/>
      <c r="H7" s="13"/>
      <c r="I7" s="13"/>
    </row>
    <row r="8" customFormat="false" ht="90.75" hidden="false" customHeight="true" outlineLevel="0" collapsed="false">
      <c r="A8" s="11" t="s">
        <v>56</v>
      </c>
      <c r="B8" s="11" t="s">
        <v>57</v>
      </c>
      <c r="C8" s="11" t="s">
        <v>58</v>
      </c>
      <c r="D8" s="11" t="s">
        <v>59</v>
      </c>
      <c r="E8" s="12" t="s">
        <v>60</v>
      </c>
      <c r="F8" s="12" t="s">
        <v>61</v>
      </c>
      <c r="G8" s="13" t="s">
        <v>44</v>
      </c>
      <c r="H8" s="13"/>
      <c r="I8" s="13"/>
    </row>
    <row r="9" customFormat="false" ht="90.75" hidden="false" customHeight="true" outlineLevel="0" collapsed="false">
      <c r="A9" s="11" t="s">
        <v>62</v>
      </c>
      <c r="B9" s="11" t="s">
        <v>63</v>
      </c>
      <c r="C9" s="11" t="s">
        <v>58</v>
      </c>
      <c r="D9" s="11" t="s">
        <v>64</v>
      </c>
      <c r="E9" s="12" t="s">
        <v>60</v>
      </c>
      <c r="F9" s="12" t="s">
        <v>65</v>
      </c>
      <c r="G9" s="13" t="s">
        <v>44</v>
      </c>
      <c r="H9" s="13"/>
      <c r="I9" s="13"/>
    </row>
    <row r="10" customFormat="false" ht="34.5" hidden="false" customHeight="true" outlineLevel="0" collapsed="false">
      <c r="A10" s="14" t="s">
        <v>323</v>
      </c>
      <c r="B10" s="14" t="s">
        <v>324</v>
      </c>
      <c r="C10" s="14" t="s">
        <v>89</v>
      </c>
      <c r="D10" s="14" t="s">
        <v>69</v>
      </c>
      <c r="E10" s="15" t="s">
        <v>60</v>
      </c>
      <c r="F10" s="15" t="s">
        <v>325</v>
      </c>
      <c r="G10" s="13"/>
      <c r="H10" s="13"/>
      <c r="I10" s="13"/>
    </row>
    <row r="11" customFormat="false" ht="34.5" hidden="false" customHeight="true" outlineLevel="0" collapsed="false">
      <c r="A11" s="14" t="s">
        <v>326</v>
      </c>
      <c r="B11" s="14" t="s">
        <v>327</v>
      </c>
      <c r="C11" s="14" t="s">
        <v>89</v>
      </c>
      <c r="D11" s="14" t="s">
        <v>69</v>
      </c>
      <c r="E11" s="15" t="s">
        <v>60</v>
      </c>
      <c r="F11" s="15" t="s">
        <v>325</v>
      </c>
      <c r="G11" s="13"/>
      <c r="H11" s="13"/>
      <c r="I11" s="13"/>
    </row>
    <row r="12" customFormat="false" ht="34.5" hidden="false" customHeight="true" outlineLevel="0" collapsed="false">
      <c r="A12" s="14" t="s">
        <v>328</v>
      </c>
      <c r="B12" s="14" t="s">
        <v>329</v>
      </c>
      <c r="C12" s="14" t="s">
        <v>330</v>
      </c>
      <c r="D12" s="14" t="s">
        <v>64</v>
      </c>
      <c r="E12" s="15" t="s">
        <v>60</v>
      </c>
      <c r="F12" s="15" t="s">
        <v>331</v>
      </c>
      <c r="G12" s="13"/>
      <c r="H12" s="13"/>
      <c r="I12" s="13"/>
    </row>
    <row r="13" customFormat="false" ht="23.25" hidden="false" customHeight="true" outlineLevel="0" collapsed="false">
      <c r="A13" s="14" t="s">
        <v>332</v>
      </c>
      <c r="B13" s="14" t="s">
        <v>333</v>
      </c>
      <c r="C13" s="14" t="s">
        <v>330</v>
      </c>
      <c r="D13" s="14" t="s">
        <v>69</v>
      </c>
      <c r="E13" s="15" t="s">
        <v>60</v>
      </c>
      <c r="F13" s="15" t="s">
        <v>334</v>
      </c>
      <c r="G13" s="13"/>
      <c r="H13" s="13"/>
      <c r="I13" s="13"/>
    </row>
    <row r="14" customFormat="false" ht="57" hidden="false" customHeight="true" outlineLevel="0" collapsed="false">
      <c r="A14" s="14" t="s">
        <v>335</v>
      </c>
      <c r="B14" s="14" t="s">
        <v>336</v>
      </c>
      <c r="C14" s="14" t="s">
        <v>337</v>
      </c>
      <c r="D14" s="14" t="s">
        <v>64</v>
      </c>
      <c r="E14" s="15" t="s">
        <v>60</v>
      </c>
      <c r="F14" s="15" t="s">
        <v>338</v>
      </c>
      <c r="G14" s="13"/>
      <c r="H14" s="13"/>
      <c r="I14" s="13"/>
    </row>
    <row r="15" customFormat="false" ht="34.5" hidden="false" customHeight="true" outlineLevel="0" collapsed="false">
      <c r="A15" s="14" t="s">
        <v>339</v>
      </c>
      <c r="B15" s="14" t="s">
        <v>340</v>
      </c>
      <c r="C15" s="14" t="s">
        <v>337</v>
      </c>
      <c r="D15" s="14" t="s">
        <v>64</v>
      </c>
      <c r="E15" s="15" t="s">
        <v>60</v>
      </c>
      <c r="F15" s="15" t="s">
        <v>341</v>
      </c>
      <c r="G15" s="13"/>
      <c r="H15" s="13"/>
      <c r="I15" s="13"/>
    </row>
    <row r="16" customFormat="false" ht="68.25" hidden="false" customHeight="true" outlineLevel="0" collapsed="false">
      <c r="A16" s="11" t="s">
        <v>66</v>
      </c>
      <c r="B16" s="11" t="s">
        <v>67</v>
      </c>
      <c r="C16" s="11" t="s">
        <v>68</v>
      </c>
      <c r="D16" s="11" t="s">
        <v>69</v>
      </c>
      <c r="E16" s="12" t="s">
        <v>60</v>
      </c>
      <c r="F16" s="12" t="s">
        <v>70</v>
      </c>
      <c r="G16" s="13" t="s">
        <v>55</v>
      </c>
      <c r="H16" s="13"/>
      <c r="I16" s="13"/>
    </row>
    <row r="17" customFormat="false" ht="102" hidden="false" customHeight="true" outlineLevel="0" collapsed="false">
      <c r="A17" s="11" t="s">
        <v>71</v>
      </c>
      <c r="B17" s="11" t="s">
        <v>72</v>
      </c>
      <c r="C17" s="11" t="s">
        <v>68</v>
      </c>
      <c r="D17" s="11" t="s">
        <v>69</v>
      </c>
      <c r="E17" s="12" t="s">
        <v>60</v>
      </c>
      <c r="F17" s="12" t="s">
        <v>73</v>
      </c>
      <c r="G17" s="13" t="s">
        <v>55</v>
      </c>
      <c r="H17" s="13"/>
      <c r="I17" s="13"/>
    </row>
    <row r="18" customFormat="false" ht="68.25" hidden="false" customHeight="true" outlineLevel="0" collapsed="false">
      <c r="A18" s="11" t="s">
        <v>74</v>
      </c>
      <c r="B18" s="11" t="s">
        <v>75</v>
      </c>
      <c r="C18" s="11" t="s">
        <v>68</v>
      </c>
      <c r="D18" s="11" t="s">
        <v>69</v>
      </c>
      <c r="E18" s="12" t="s">
        <v>60</v>
      </c>
      <c r="F18" s="12" t="s">
        <v>70</v>
      </c>
      <c r="G18" s="13" t="s">
        <v>55</v>
      </c>
      <c r="H18" s="13"/>
      <c r="I18" s="13"/>
    </row>
    <row r="19" customFormat="false" ht="68.25" hidden="false" customHeight="true" outlineLevel="0" collapsed="false">
      <c r="A19" s="11" t="s">
        <v>76</v>
      </c>
      <c r="B19" s="11" t="s">
        <v>77</v>
      </c>
      <c r="C19" s="11" t="s">
        <v>68</v>
      </c>
      <c r="D19" s="11" t="s">
        <v>69</v>
      </c>
      <c r="E19" s="12" t="s">
        <v>60</v>
      </c>
      <c r="F19" s="12" t="s">
        <v>70</v>
      </c>
      <c r="G19" s="13" t="s">
        <v>55</v>
      </c>
      <c r="H19" s="13"/>
      <c r="I19" s="13"/>
    </row>
    <row r="20" customFormat="false" ht="90.75" hidden="false" customHeight="true" outlineLevel="0" collapsed="false">
      <c r="A20" s="11" t="s">
        <v>78</v>
      </c>
      <c r="B20" s="11" t="s">
        <v>79</v>
      </c>
      <c r="C20" s="11" t="s">
        <v>68</v>
      </c>
      <c r="D20" s="11" t="s">
        <v>69</v>
      </c>
      <c r="E20" s="12" t="s">
        <v>60</v>
      </c>
      <c r="F20" s="12" t="s">
        <v>80</v>
      </c>
      <c r="G20" s="13" t="s">
        <v>55</v>
      </c>
      <c r="H20" s="13"/>
      <c r="I20" s="13"/>
    </row>
    <row r="21" customFormat="false" ht="102" hidden="false" customHeight="true" outlineLevel="0" collapsed="false">
      <c r="A21" s="11" t="s">
        <v>81</v>
      </c>
      <c r="B21" s="11" t="s">
        <v>82</v>
      </c>
      <c r="C21" s="11" t="s">
        <v>68</v>
      </c>
      <c r="D21" s="11" t="s">
        <v>69</v>
      </c>
      <c r="E21" s="12" t="s">
        <v>60</v>
      </c>
      <c r="F21" s="12" t="s">
        <v>83</v>
      </c>
      <c r="G21" s="13" t="s">
        <v>55</v>
      </c>
      <c r="H21" s="13"/>
      <c r="I21" s="13"/>
    </row>
    <row r="22" customFormat="false" ht="79.5" hidden="false" customHeight="true" outlineLevel="0" collapsed="false">
      <c r="A22" s="11" t="s">
        <v>84</v>
      </c>
      <c r="B22" s="11" t="s">
        <v>85</v>
      </c>
      <c r="C22" s="11" t="s">
        <v>68</v>
      </c>
      <c r="D22" s="11" t="s">
        <v>69</v>
      </c>
      <c r="E22" s="12" t="s">
        <v>60</v>
      </c>
      <c r="F22" s="12" t="s">
        <v>86</v>
      </c>
      <c r="G22" s="13" t="s">
        <v>55</v>
      </c>
      <c r="H22" s="13"/>
      <c r="I22" s="13"/>
    </row>
    <row r="23" customFormat="false" ht="68.25" hidden="false" customHeight="true" outlineLevel="0" collapsed="false">
      <c r="A23" s="11" t="s">
        <v>87</v>
      </c>
      <c r="B23" s="11" t="s">
        <v>88</v>
      </c>
      <c r="C23" s="11" t="s">
        <v>89</v>
      </c>
      <c r="D23" s="11" t="s">
        <v>69</v>
      </c>
      <c r="E23" s="12" t="s">
        <v>60</v>
      </c>
      <c r="F23" s="12" t="s">
        <v>70</v>
      </c>
      <c r="G23" s="13" t="s">
        <v>55</v>
      </c>
      <c r="H23" s="13"/>
      <c r="I23" s="13"/>
    </row>
  </sheetData>
  <conditionalFormatting sqref="G5:G23">
    <cfRule type="cellIs" priority="2" operator="equal" aboveAverage="0" equalAverage="0" bottom="0" percent="0" rank="0" text="" dxfId="0">
      <formula>"Y"</formula>
    </cfRule>
    <cfRule type="cellIs" priority="3" operator="equal" aboveAverage="0" equalAverage="0" bottom="0" percent="0" rank="0" text="" dxfId="1">
      <formula>"N"</formula>
    </cfRule>
    <cfRule type="cellIs" priority="4" operator="equal" aboveAverage="0" equalAverage="0" bottom="0" percent="0" rank="0" text="" dxfId="2">
      <formula>"Query"</formula>
    </cfRule>
  </conditionalFormatting>
  <dataValidations count="1">
    <dataValidation allowBlank="true" error="Y if the loaded figure matches the source, N if it does not, Query if you could not find the document." errorStyle="stop" errorTitle="One of three answers" operator="between" prompt="Y, N or Query." promptTitle="Does the loaded value agree?" showDropDown="false" showErrorMessage="true" showInputMessage="true" sqref="G5:G23" type="list">
      <formula1>"Y,N,Query"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34"/>
    <col collapsed="false" customWidth="true" hidden="false" outlineLevel="0" max="3" min="3" style="1" width="14"/>
    <col collapsed="false" customWidth="true" hidden="false" outlineLevel="0" max="4" min="4" style="1" width="46"/>
    <col collapsed="false" customWidth="true" hidden="false" outlineLevel="0" max="5" min="5" style="1" width="12"/>
    <col collapsed="false" customWidth="true" hidden="false" outlineLevel="0" max="6" min="6" style="1" width="18"/>
    <col collapsed="false" customWidth="true" hidden="false" outlineLevel="0" max="7" min="7" style="1" width="26"/>
  </cols>
  <sheetData>
    <row r="1" customFormat="false" ht="17.25" hidden="false" customHeight="true" outlineLevel="0" collapsed="false">
      <c r="A1" s="8" t="s">
        <v>342</v>
      </c>
    </row>
    <row r="2" customFormat="false" ht="15" hidden="false" customHeight="true" outlineLevel="0" collapsed="false">
      <c r="A2" s="9" t="s">
        <v>343</v>
      </c>
    </row>
    <row r="4" customFormat="false" ht="15" hidden="false" customHeight="true" outlineLevel="0" collapsed="false">
      <c r="A4" s="10" t="s">
        <v>344</v>
      </c>
      <c r="B4" s="10" t="s">
        <v>345</v>
      </c>
      <c r="C4" s="10" t="s">
        <v>346</v>
      </c>
      <c r="D4" s="10" t="s">
        <v>33</v>
      </c>
      <c r="E4" s="10" t="s">
        <v>35</v>
      </c>
      <c r="F4" s="10" t="s">
        <v>36</v>
      </c>
      <c r="G4" s="10" t="s">
        <v>37</v>
      </c>
    </row>
    <row r="5" customFormat="false" ht="15" hidden="false" customHeight="true" outlineLevel="0" collapsed="false">
      <c r="A5" s="14" t="s">
        <v>347</v>
      </c>
      <c r="B5" s="14" t="s">
        <v>348</v>
      </c>
      <c r="C5" s="14"/>
      <c r="D5" s="14" t="s">
        <v>349</v>
      </c>
      <c r="E5" s="13"/>
      <c r="F5" s="13"/>
      <c r="G5" s="13"/>
    </row>
    <row r="6" customFormat="false" ht="15" hidden="false" customHeight="true" outlineLevel="0" collapsed="false">
      <c r="A6" s="14" t="s">
        <v>350</v>
      </c>
      <c r="B6" s="14" t="s">
        <v>351</v>
      </c>
      <c r="C6" s="14"/>
      <c r="D6" s="14" t="s">
        <v>349</v>
      </c>
      <c r="E6" s="13"/>
      <c r="F6" s="13"/>
      <c r="G6" s="13"/>
    </row>
    <row r="7" customFormat="false" ht="15" hidden="false" customHeight="true" outlineLevel="0" collapsed="false">
      <c r="A7" s="14" t="s">
        <v>352</v>
      </c>
      <c r="B7" s="14" t="s">
        <v>353</v>
      </c>
      <c r="C7" s="14"/>
      <c r="D7" s="14" t="s">
        <v>349</v>
      </c>
      <c r="E7" s="13"/>
      <c r="F7" s="13"/>
      <c r="G7" s="13"/>
    </row>
    <row r="8" customFormat="false" ht="15" hidden="false" customHeight="true" outlineLevel="0" collapsed="false">
      <c r="A8" s="14" t="s">
        <v>354</v>
      </c>
      <c r="B8" s="14" t="s">
        <v>355</v>
      </c>
      <c r="C8" s="14"/>
      <c r="D8" s="14" t="s">
        <v>349</v>
      </c>
      <c r="E8" s="13"/>
      <c r="F8" s="13"/>
      <c r="G8" s="13"/>
    </row>
    <row r="9" customFormat="false" ht="15" hidden="false" customHeight="true" outlineLevel="0" collapsed="false">
      <c r="A9" s="14" t="s">
        <v>356</v>
      </c>
      <c r="B9" s="14" t="s">
        <v>357</v>
      </c>
      <c r="C9" s="14"/>
      <c r="D9" s="14" t="s">
        <v>349</v>
      </c>
      <c r="E9" s="13"/>
      <c r="F9" s="13"/>
      <c r="G9" s="13"/>
    </row>
    <row r="10" customFormat="false" ht="15" hidden="false" customHeight="true" outlineLevel="0" collapsed="false">
      <c r="A10" s="14" t="s">
        <v>358</v>
      </c>
      <c r="B10" s="14" t="s">
        <v>359</v>
      </c>
      <c r="C10" s="14"/>
      <c r="D10" s="14" t="s">
        <v>349</v>
      </c>
      <c r="E10" s="13"/>
      <c r="F10" s="13"/>
      <c r="G10" s="13"/>
    </row>
    <row r="11" customFormat="false" ht="15" hidden="false" customHeight="true" outlineLevel="0" collapsed="false">
      <c r="A11" s="14" t="s">
        <v>360</v>
      </c>
      <c r="B11" s="14" t="s">
        <v>361</v>
      </c>
      <c r="C11" s="14"/>
      <c r="D11" s="14" t="s">
        <v>349</v>
      </c>
      <c r="E11" s="13"/>
      <c r="F11" s="13"/>
      <c r="G11" s="13"/>
    </row>
    <row r="12" customFormat="false" ht="15" hidden="false" customHeight="true" outlineLevel="0" collapsed="false">
      <c r="A12" s="14" t="s">
        <v>362</v>
      </c>
      <c r="B12" s="14" t="s">
        <v>363</v>
      </c>
      <c r="C12" s="14" t="s">
        <v>364</v>
      </c>
      <c r="D12" s="14" t="s">
        <v>365</v>
      </c>
      <c r="E12" s="13"/>
      <c r="F12" s="13"/>
      <c r="G12" s="13"/>
    </row>
    <row r="13" customFormat="false" ht="15" hidden="false" customHeight="true" outlineLevel="0" collapsed="false">
      <c r="A13" s="14" t="s">
        <v>366</v>
      </c>
      <c r="B13" s="14" t="s">
        <v>367</v>
      </c>
      <c r="C13" s="14"/>
      <c r="D13" s="14" t="s">
        <v>349</v>
      </c>
      <c r="E13" s="13"/>
      <c r="F13" s="13"/>
      <c r="G13" s="13"/>
    </row>
    <row r="14" customFormat="false" ht="15" hidden="false" customHeight="true" outlineLevel="0" collapsed="false">
      <c r="A14" s="14" t="s">
        <v>368</v>
      </c>
      <c r="B14" s="14" t="s">
        <v>369</v>
      </c>
      <c r="C14" s="14"/>
      <c r="D14" s="14" t="s">
        <v>349</v>
      </c>
      <c r="E14" s="13"/>
      <c r="F14" s="13"/>
      <c r="G14" s="13"/>
    </row>
    <row r="15" customFormat="false" ht="15" hidden="false" customHeight="true" outlineLevel="0" collapsed="false">
      <c r="A15" s="14" t="s">
        <v>370</v>
      </c>
      <c r="B15" s="14" t="s">
        <v>371</v>
      </c>
      <c r="C15" s="14"/>
      <c r="D15" s="14" t="s">
        <v>349</v>
      </c>
      <c r="E15" s="13"/>
      <c r="F15" s="13"/>
      <c r="G15" s="13"/>
    </row>
    <row r="16" customFormat="false" ht="15" hidden="false" customHeight="true" outlineLevel="0" collapsed="false">
      <c r="A16" s="14" t="s">
        <v>372</v>
      </c>
      <c r="B16" s="14" t="s">
        <v>373</v>
      </c>
      <c r="C16" s="14"/>
      <c r="D16" s="14" t="s">
        <v>349</v>
      </c>
      <c r="E16" s="13"/>
      <c r="F16" s="13"/>
      <c r="G16" s="13"/>
    </row>
    <row r="17" customFormat="false" ht="15" hidden="false" customHeight="true" outlineLevel="0" collapsed="false">
      <c r="A17" s="14" t="s">
        <v>374</v>
      </c>
      <c r="B17" s="14" t="s">
        <v>348</v>
      </c>
      <c r="C17" s="14"/>
      <c r="D17" s="14" t="s">
        <v>349</v>
      </c>
      <c r="E17" s="13"/>
      <c r="F17" s="13"/>
      <c r="G17" s="13"/>
    </row>
    <row r="18" customFormat="false" ht="15" hidden="false" customHeight="true" outlineLevel="0" collapsed="false">
      <c r="A18" s="14" t="s">
        <v>375</v>
      </c>
      <c r="B18" s="14" t="s">
        <v>351</v>
      </c>
      <c r="C18" s="14" t="s">
        <v>376</v>
      </c>
      <c r="D18" s="14" t="s">
        <v>365</v>
      </c>
      <c r="E18" s="13"/>
      <c r="F18" s="13"/>
      <c r="G18" s="13"/>
    </row>
    <row r="19" customFormat="false" ht="15" hidden="false" customHeight="true" outlineLevel="0" collapsed="false">
      <c r="A19" s="14" t="s">
        <v>377</v>
      </c>
      <c r="B19" s="14" t="s">
        <v>353</v>
      </c>
      <c r="C19" s="14"/>
      <c r="D19" s="14" t="s">
        <v>349</v>
      </c>
      <c r="E19" s="13"/>
      <c r="F19" s="13"/>
      <c r="G19" s="13"/>
    </row>
    <row r="20" customFormat="false" ht="15" hidden="false" customHeight="true" outlineLevel="0" collapsed="false">
      <c r="A20" s="14" t="s">
        <v>378</v>
      </c>
      <c r="B20" s="14" t="s">
        <v>355</v>
      </c>
      <c r="C20" s="14"/>
      <c r="D20" s="14" t="s">
        <v>349</v>
      </c>
      <c r="E20" s="13"/>
      <c r="F20" s="13"/>
      <c r="G20" s="13"/>
    </row>
    <row r="21" customFormat="false" ht="15" hidden="false" customHeight="true" outlineLevel="0" collapsed="false">
      <c r="A21" s="14" t="s">
        <v>379</v>
      </c>
      <c r="B21" s="14" t="s">
        <v>357</v>
      </c>
      <c r="C21" s="14"/>
      <c r="D21" s="14" t="s">
        <v>349</v>
      </c>
      <c r="E21" s="13"/>
      <c r="F21" s="13"/>
      <c r="G21" s="13"/>
    </row>
    <row r="22" customFormat="false" ht="15" hidden="false" customHeight="true" outlineLevel="0" collapsed="false">
      <c r="A22" s="14" t="s">
        <v>380</v>
      </c>
      <c r="B22" s="14" t="s">
        <v>359</v>
      </c>
      <c r="C22" s="14"/>
      <c r="D22" s="14" t="s">
        <v>349</v>
      </c>
      <c r="E22" s="13"/>
      <c r="F22" s="13"/>
      <c r="G22" s="13"/>
    </row>
    <row r="23" customFormat="false" ht="15" hidden="false" customHeight="true" outlineLevel="0" collapsed="false">
      <c r="A23" s="14" t="s">
        <v>381</v>
      </c>
      <c r="B23" s="14" t="s">
        <v>361</v>
      </c>
      <c r="C23" s="14"/>
      <c r="D23" s="14" t="s">
        <v>349</v>
      </c>
      <c r="E23" s="13"/>
      <c r="F23" s="13"/>
      <c r="G23" s="13"/>
    </row>
    <row r="24" customFormat="false" ht="15" hidden="false" customHeight="true" outlineLevel="0" collapsed="false">
      <c r="A24" s="14" t="s">
        <v>382</v>
      </c>
      <c r="B24" s="14" t="s">
        <v>363</v>
      </c>
      <c r="C24" s="14"/>
      <c r="D24" s="14" t="s">
        <v>349</v>
      </c>
      <c r="E24" s="13"/>
      <c r="F24" s="13"/>
      <c r="G24" s="13"/>
    </row>
    <row r="25" customFormat="false" ht="15" hidden="false" customHeight="true" outlineLevel="0" collapsed="false">
      <c r="A25" s="14" t="s">
        <v>383</v>
      </c>
      <c r="B25" s="14" t="s">
        <v>367</v>
      </c>
      <c r="C25" s="14"/>
      <c r="D25" s="14" t="s">
        <v>349</v>
      </c>
      <c r="E25" s="13"/>
      <c r="F25" s="13"/>
      <c r="G25" s="13"/>
    </row>
    <row r="26" customFormat="false" ht="15" hidden="false" customHeight="true" outlineLevel="0" collapsed="false">
      <c r="A26" s="14" t="s">
        <v>384</v>
      </c>
      <c r="B26" s="14" t="s">
        <v>369</v>
      </c>
      <c r="C26" s="14"/>
      <c r="D26" s="14" t="s">
        <v>349</v>
      </c>
      <c r="E26" s="13"/>
      <c r="F26" s="13"/>
      <c r="G26" s="13"/>
    </row>
    <row r="27" customFormat="false" ht="15" hidden="false" customHeight="true" outlineLevel="0" collapsed="false">
      <c r="A27" s="14" t="s">
        <v>385</v>
      </c>
      <c r="B27" s="14" t="s">
        <v>371</v>
      </c>
      <c r="C27" s="14"/>
      <c r="D27" s="14" t="s">
        <v>349</v>
      </c>
      <c r="E27" s="13"/>
      <c r="F27" s="13"/>
      <c r="G27" s="13"/>
    </row>
    <row r="28" customFormat="false" ht="15" hidden="false" customHeight="true" outlineLevel="0" collapsed="false">
      <c r="A28" s="14" t="s">
        <v>386</v>
      </c>
      <c r="B28" s="14" t="s">
        <v>373</v>
      </c>
      <c r="C28" s="14" t="s">
        <v>387</v>
      </c>
      <c r="D28" s="14" t="s">
        <v>365</v>
      </c>
      <c r="E28" s="13"/>
      <c r="F28" s="13"/>
      <c r="G28" s="13"/>
    </row>
  </sheetData>
  <conditionalFormatting sqref="E5:E28">
    <cfRule type="cellIs" priority="2" operator="equal" aboveAverage="0" equalAverage="0" bottom="0" percent="0" rank="0" text="" dxfId="0">
      <formula>"Y"</formula>
    </cfRule>
    <cfRule type="cellIs" priority="3" operator="equal" aboveAverage="0" equalAverage="0" bottom="0" percent="0" rank="0" text="" dxfId="1">
      <formula>"N"</formula>
    </cfRule>
    <cfRule type="cellIs" priority="4" operator="equal" aboveAverage="0" equalAverage="0" bottom="0" percent="0" rank="0" text="" dxfId="2">
      <formula>"Query"</formula>
    </cfRule>
  </conditionalFormatting>
  <dataValidations count="1">
    <dataValidation allowBlank="true" error="Y if the loaded figure matches the source, N if it does not, Query if you could not find the document." errorStyle="stop" errorTitle="One of three answers" operator="between" prompt="Y, N or Query." promptTitle="Does the loaded value agree?" showDropDown="false" showErrorMessage="true" showInputMessage="true" sqref="E5:E28" type="list">
      <formula1>"Y,N,Query"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22"/>
    <col collapsed="false" customWidth="true" hidden="false" outlineLevel="0" max="3" min="3" style="1" width="60"/>
    <col collapsed="false" customWidth="true" hidden="false" outlineLevel="0" max="4" min="4" style="1" width="12"/>
    <col collapsed="false" customWidth="true" hidden="false" outlineLevel="0" max="5" min="5" style="1" width="18"/>
    <col collapsed="false" customWidth="true" hidden="false" outlineLevel="0" max="6" min="6" style="1" width="26"/>
  </cols>
  <sheetData>
    <row r="1" customFormat="false" ht="17.25" hidden="false" customHeight="true" outlineLevel="0" collapsed="false">
      <c r="A1" s="8" t="s">
        <v>388</v>
      </c>
    </row>
    <row r="2" customFormat="false" ht="15" hidden="false" customHeight="true" outlineLevel="0" collapsed="false">
      <c r="A2" s="9" t="s">
        <v>389</v>
      </c>
    </row>
    <row r="4" customFormat="false" ht="15" hidden="false" customHeight="true" outlineLevel="0" collapsed="false">
      <c r="A4" s="10" t="s">
        <v>390</v>
      </c>
      <c r="B4" s="10" t="s">
        <v>391</v>
      </c>
      <c r="C4" s="10" t="s">
        <v>191</v>
      </c>
      <c r="D4" s="10" t="s">
        <v>35</v>
      </c>
      <c r="E4" s="10" t="s">
        <v>36</v>
      </c>
      <c r="F4" s="10" t="s">
        <v>37</v>
      </c>
    </row>
    <row r="5" customFormat="false" ht="15" hidden="false" customHeight="true" outlineLevel="0" collapsed="false">
      <c r="A5" s="14" t="s">
        <v>392</v>
      </c>
      <c r="B5" s="14" t="s">
        <v>393</v>
      </c>
      <c r="C5" s="14" t="s">
        <v>394</v>
      </c>
      <c r="D5" s="18"/>
      <c r="E5" s="13"/>
      <c r="F5" s="13"/>
    </row>
    <row r="6" customFormat="false" ht="15" hidden="false" customHeight="true" outlineLevel="0" collapsed="false">
      <c r="A6" s="11" t="s">
        <v>91</v>
      </c>
      <c r="B6" s="11" t="s">
        <v>93</v>
      </c>
      <c r="C6" s="11" t="s">
        <v>94</v>
      </c>
      <c r="D6" s="18" t="s">
        <v>44</v>
      </c>
      <c r="E6" s="13"/>
      <c r="F6" s="13"/>
    </row>
    <row r="7" customFormat="false" ht="15" hidden="false" customHeight="true" outlineLevel="0" collapsed="false">
      <c r="A7" s="14" t="s">
        <v>395</v>
      </c>
      <c r="B7" s="14" t="s">
        <v>396</v>
      </c>
      <c r="C7" s="14" t="s">
        <v>394</v>
      </c>
      <c r="D7" s="18"/>
      <c r="E7" s="13"/>
      <c r="F7" s="13"/>
    </row>
    <row r="8" customFormat="false" ht="15" hidden="false" customHeight="true" outlineLevel="0" collapsed="false">
      <c r="A8" s="11" t="s">
        <v>95</v>
      </c>
      <c r="B8" s="11" t="s">
        <v>96</v>
      </c>
      <c r="C8" s="11" t="s">
        <v>94</v>
      </c>
      <c r="D8" s="18" t="s">
        <v>44</v>
      </c>
      <c r="E8" s="13"/>
      <c r="F8" s="13"/>
    </row>
    <row r="9" customFormat="false" ht="15" hidden="false" customHeight="true" outlineLevel="0" collapsed="false">
      <c r="A9" s="14" t="s">
        <v>397</v>
      </c>
      <c r="B9" s="14" t="s">
        <v>398</v>
      </c>
      <c r="C9" s="14" t="s">
        <v>394</v>
      </c>
      <c r="D9" s="18"/>
      <c r="E9" s="13"/>
      <c r="F9" s="13"/>
    </row>
    <row r="10" customFormat="false" ht="15" hidden="false" customHeight="true" outlineLevel="0" collapsed="false">
      <c r="A10" s="14" t="s">
        <v>399</v>
      </c>
      <c r="B10" s="14" t="s">
        <v>400</v>
      </c>
      <c r="C10" s="14" t="s">
        <v>401</v>
      </c>
      <c r="D10" s="18"/>
      <c r="E10" s="13"/>
      <c r="F10" s="13"/>
    </row>
    <row r="11" customFormat="false" ht="15" hidden="false" customHeight="true" outlineLevel="0" collapsed="false">
      <c r="A11" s="14" t="s">
        <v>402</v>
      </c>
      <c r="B11" s="14" t="s">
        <v>403</v>
      </c>
      <c r="C11" s="14" t="s">
        <v>394</v>
      </c>
      <c r="D11" s="18"/>
      <c r="E11" s="13"/>
      <c r="F11" s="13"/>
    </row>
    <row r="12" customFormat="false" ht="15" hidden="false" customHeight="true" outlineLevel="0" collapsed="false">
      <c r="A12" s="14" t="s">
        <v>404</v>
      </c>
      <c r="B12" s="14" t="s">
        <v>405</v>
      </c>
      <c r="C12" s="14" t="s">
        <v>394</v>
      </c>
      <c r="D12" s="18"/>
      <c r="E12" s="13"/>
      <c r="F12" s="13"/>
    </row>
    <row r="13" customFormat="false" ht="15" hidden="false" customHeight="true" outlineLevel="0" collapsed="false">
      <c r="A13" s="11" t="s">
        <v>97</v>
      </c>
      <c r="B13" s="11" t="s">
        <v>98</v>
      </c>
      <c r="C13" s="11" t="s">
        <v>99</v>
      </c>
      <c r="D13" s="18" t="s">
        <v>44</v>
      </c>
      <c r="E13" s="13"/>
      <c r="F13" s="13"/>
    </row>
    <row r="14" customFormat="false" ht="15" hidden="false" customHeight="true" outlineLevel="0" collapsed="false">
      <c r="A14" s="14" t="s">
        <v>406</v>
      </c>
      <c r="B14" s="14" t="s">
        <v>407</v>
      </c>
      <c r="C14" s="14" t="s">
        <v>401</v>
      </c>
      <c r="D14" s="18"/>
      <c r="E14" s="13"/>
      <c r="F14" s="13"/>
    </row>
    <row r="15" customFormat="false" ht="15" hidden="false" customHeight="true" outlineLevel="0" collapsed="false">
      <c r="A15" s="14" t="s">
        <v>408</v>
      </c>
      <c r="B15" s="14" t="s">
        <v>409</v>
      </c>
      <c r="C15" s="14" t="s">
        <v>394</v>
      </c>
      <c r="D15" s="18"/>
      <c r="E15" s="13"/>
      <c r="F15" s="13"/>
    </row>
    <row r="16" customFormat="false" ht="15" hidden="false" customHeight="true" outlineLevel="0" collapsed="false">
      <c r="A16" s="11" t="s">
        <v>100</v>
      </c>
      <c r="B16" s="11" t="s">
        <v>101</v>
      </c>
      <c r="C16" s="11" t="s">
        <v>94</v>
      </c>
      <c r="D16" s="18" t="s">
        <v>44</v>
      </c>
      <c r="E16" s="13"/>
      <c r="F16" s="13"/>
    </row>
    <row r="17" customFormat="false" ht="15" hidden="false" customHeight="true" outlineLevel="0" collapsed="false">
      <c r="A17" s="14" t="s">
        <v>410</v>
      </c>
      <c r="B17" s="14" t="s">
        <v>411</v>
      </c>
      <c r="C17" s="14" t="s">
        <v>412</v>
      </c>
      <c r="D17" s="18"/>
      <c r="E17" s="13"/>
      <c r="F17" s="13"/>
    </row>
    <row r="18" customFormat="false" ht="15" hidden="false" customHeight="true" outlineLevel="0" collapsed="false">
      <c r="A18" s="14" t="s">
        <v>413</v>
      </c>
      <c r="B18" s="14" t="s">
        <v>414</v>
      </c>
      <c r="C18" s="14" t="s">
        <v>415</v>
      </c>
      <c r="D18" s="18"/>
      <c r="E18" s="13"/>
      <c r="F18" s="13"/>
    </row>
    <row r="19" customFormat="false" ht="15" hidden="false" customHeight="true" outlineLevel="0" collapsed="false">
      <c r="A19" s="11" t="s">
        <v>102</v>
      </c>
      <c r="B19" s="11" t="s">
        <v>103</v>
      </c>
      <c r="C19" s="11" t="s">
        <v>94</v>
      </c>
      <c r="D19" s="18" t="s">
        <v>44</v>
      </c>
      <c r="E19" s="13"/>
      <c r="F19" s="13"/>
    </row>
    <row r="20" customFormat="false" ht="15" hidden="false" customHeight="true" outlineLevel="0" collapsed="false">
      <c r="A20" s="14" t="s">
        <v>416</v>
      </c>
      <c r="B20" s="14" t="s">
        <v>417</v>
      </c>
      <c r="C20" s="14" t="s">
        <v>401</v>
      </c>
      <c r="D20" s="18"/>
      <c r="E20" s="13"/>
      <c r="F20" s="13"/>
    </row>
    <row r="21" customFormat="false" ht="15" hidden="false" customHeight="true" outlineLevel="0" collapsed="false">
      <c r="A21" s="14" t="s">
        <v>418</v>
      </c>
      <c r="B21" s="14" t="s">
        <v>419</v>
      </c>
      <c r="C21" s="14" t="s">
        <v>401</v>
      </c>
      <c r="D21" s="18"/>
      <c r="E21" s="13"/>
      <c r="F21" s="13"/>
    </row>
    <row r="22" customFormat="false" ht="15" hidden="false" customHeight="true" outlineLevel="0" collapsed="false">
      <c r="A22" s="14" t="s">
        <v>420</v>
      </c>
      <c r="B22" s="14" t="s">
        <v>421</v>
      </c>
      <c r="C22" s="14" t="s">
        <v>394</v>
      </c>
      <c r="D22" s="18"/>
      <c r="E22" s="13"/>
      <c r="F22" s="13"/>
    </row>
    <row r="23" customFormat="false" ht="15" hidden="false" customHeight="true" outlineLevel="0" collapsed="false">
      <c r="A23" s="14" t="s">
        <v>422</v>
      </c>
      <c r="B23" s="14" t="s">
        <v>423</v>
      </c>
      <c r="C23" s="14" t="s">
        <v>401</v>
      </c>
      <c r="D23" s="18"/>
      <c r="E23" s="13"/>
      <c r="F23" s="13"/>
    </row>
    <row r="24" customFormat="false" ht="15" hidden="false" customHeight="true" outlineLevel="0" collapsed="false">
      <c r="A24" s="14" t="s">
        <v>424</v>
      </c>
      <c r="B24" s="14" t="s">
        <v>425</v>
      </c>
      <c r="C24" s="14" t="s">
        <v>394</v>
      </c>
      <c r="D24" s="18"/>
      <c r="E24" s="13"/>
      <c r="F24" s="13"/>
    </row>
    <row r="25" customFormat="false" ht="15" hidden="false" customHeight="true" outlineLevel="0" collapsed="false">
      <c r="A25" s="11" t="s">
        <v>104</v>
      </c>
      <c r="B25" s="11" t="s">
        <v>105</v>
      </c>
      <c r="C25" s="11" t="s">
        <v>94</v>
      </c>
      <c r="D25" s="18" t="s">
        <v>44</v>
      </c>
      <c r="E25" s="13"/>
      <c r="F25" s="13"/>
    </row>
    <row r="26" customFormat="false" ht="15" hidden="false" customHeight="true" outlineLevel="0" collapsed="false">
      <c r="A26" s="14" t="s">
        <v>426</v>
      </c>
      <c r="B26" s="14" t="s">
        <v>427</v>
      </c>
      <c r="C26" s="14" t="s">
        <v>401</v>
      </c>
      <c r="D26" s="18"/>
      <c r="E26" s="13"/>
      <c r="F26" s="13"/>
    </row>
    <row r="27" customFormat="false" ht="15" hidden="false" customHeight="true" outlineLevel="0" collapsed="false">
      <c r="A27" s="11" t="s">
        <v>106</v>
      </c>
      <c r="B27" s="11" t="s">
        <v>107</v>
      </c>
      <c r="C27" s="11" t="s">
        <v>94</v>
      </c>
      <c r="D27" s="18" t="s">
        <v>44</v>
      </c>
      <c r="E27" s="13"/>
      <c r="F27" s="13"/>
    </row>
    <row r="28" customFormat="false" ht="15" hidden="false" customHeight="true" outlineLevel="0" collapsed="false">
      <c r="A28" s="14" t="s">
        <v>428</v>
      </c>
      <c r="B28" s="14" t="s">
        <v>429</v>
      </c>
      <c r="C28" s="14" t="s">
        <v>394</v>
      </c>
      <c r="D28" s="18"/>
      <c r="E28" s="13"/>
      <c r="F28" s="13"/>
    </row>
    <row r="29" customFormat="false" ht="15" hidden="false" customHeight="true" outlineLevel="0" collapsed="false">
      <c r="A29" s="14" t="s">
        <v>430</v>
      </c>
      <c r="B29" s="14" t="s">
        <v>431</v>
      </c>
      <c r="C29" s="14" t="s">
        <v>401</v>
      </c>
      <c r="D29" s="18"/>
      <c r="E29" s="13"/>
      <c r="F29" s="13"/>
    </row>
  </sheetData>
  <conditionalFormatting sqref="D5:D29">
    <cfRule type="cellIs" priority="2" operator="equal" aboveAverage="0" equalAverage="0" bottom="0" percent="0" rank="0" text="" dxfId="0">
      <formula>"Y"</formula>
    </cfRule>
    <cfRule type="cellIs" priority="3" operator="equal" aboveAverage="0" equalAverage="0" bottom="0" percent="0" rank="0" text="" dxfId="1">
      <formula>"N"</formula>
    </cfRule>
    <cfRule type="cellIs" priority="4" operator="equal" aboveAverage="0" equalAverage="0" bottom="0" percent="0" rank="0" text="" dxfId="2">
      <formula>"Query"</formula>
    </cfRule>
  </conditionalFormatting>
  <dataValidations count="1">
    <dataValidation allowBlank="true" error="Y if the loaded figure matches the source, N if it does not, Query if you could not find the document." errorStyle="stop" errorTitle="One of three answers" operator="between" prompt="Y, N or Query." promptTitle="Does the loaded value agree?" showDropDown="false" showErrorMessage="true" showInputMessage="true" sqref="D5:D29" type="list">
      <formula1>"Y,N,Query"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8"/>
    <col collapsed="false" customWidth="true" hidden="false" outlineLevel="0" max="3" min="3" style="1" width="40"/>
    <col collapsed="false" customWidth="true" hidden="false" outlineLevel="0" max="4" min="4" style="1" width="60"/>
  </cols>
  <sheetData>
    <row r="1" customFormat="false" ht="17.25" hidden="false" customHeight="true" outlineLevel="0" collapsed="false">
      <c r="A1" s="8" t="s">
        <v>432</v>
      </c>
    </row>
    <row r="2" customFormat="false" ht="15" hidden="false" customHeight="true" outlineLevel="0" collapsed="false">
      <c r="A2" s="9" t="s">
        <v>433</v>
      </c>
    </row>
    <row r="4" customFormat="false" ht="15" hidden="false" customHeight="true" outlineLevel="0" collapsed="false">
      <c r="A4" s="10" t="s">
        <v>434</v>
      </c>
      <c r="B4" s="10" t="s">
        <v>435</v>
      </c>
      <c r="C4" s="10" t="s">
        <v>436</v>
      </c>
      <c r="D4" s="10" t="s">
        <v>191</v>
      </c>
    </row>
    <row r="5" customFormat="false" ht="15" hidden="false" customHeight="true" outlineLevel="0" collapsed="false">
      <c r="A5" s="14" t="s">
        <v>437</v>
      </c>
      <c r="B5" s="18" t="s">
        <v>438</v>
      </c>
      <c r="C5" s="18" t="s">
        <v>439</v>
      </c>
      <c r="D5" s="18" t="s">
        <v>440</v>
      </c>
    </row>
    <row r="6" customFormat="false" ht="15" hidden="false" customHeight="true" outlineLevel="0" collapsed="false">
      <c r="A6" s="14" t="s">
        <v>441</v>
      </c>
      <c r="B6" s="18" t="s">
        <v>442</v>
      </c>
      <c r="C6" s="18" t="s">
        <v>443</v>
      </c>
      <c r="D6" s="18" t="s">
        <v>444</v>
      </c>
    </row>
    <row r="7" customFormat="false" ht="15" hidden="false" customHeight="true" outlineLevel="0" collapsed="false">
      <c r="A7" s="14" t="s">
        <v>445</v>
      </c>
      <c r="B7" s="18" t="s">
        <v>446</v>
      </c>
      <c r="C7" s="18" t="s">
        <v>447</v>
      </c>
      <c r="D7" s="18" t="s">
        <v>448</v>
      </c>
    </row>
    <row r="8" customFormat="false" ht="15" hidden="false" customHeight="true" outlineLevel="0" collapsed="false">
      <c r="A8" s="14" t="s">
        <v>449</v>
      </c>
      <c r="B8" s="18" t="s">
        <v>450</v>
      </c>
      <c r="C8" s="18" t="s">
        <v>447</v>
      </c>
      <c r="D8" s="18" t="s">
        <v>451</v>
      </c>
    </row>
    <row r="9" customFormat="false" ht="15" hidden="false" customHeight="true" outlineLevel="0" collapsed="false">
      <c r="A9" s="14" t="s">
        <v>452</v>
      </c>
      <c r="B9" s="18" t="s">
        <v>453</v>
      </c>
      <c r="C9" s="18" t="s">
        <v>454</v>
      </c>
      <c r="D9" s="18" t="s">
        <v>455</v>
      </c>
    </row>
    <row r="10" customFormat="false" ht="15" hidden="false" customHeight="true" outlineLevel="0" collapsed="false">
      <c r="A10" s="14" t="s">
        <v>456</v>
      </c>
      <c r="B10" s="18" t="s">
        <v>457</v>
      </c>
      <c r="C10" s="18" t="s">
        <v>458</v>
      </c>
      <c r="D10" s="18" t="s">
        <v>459</v>
      </c>
    </row>
    <row r="11" customFormat="false" ht="15" hidden="false" customHeight="true" outlineLevel="0" collapsed="false">
      <c r="A11" s="14" t="s">
        <v>460</v>
      </c>
      <c r="B11" s="18" t="s">
        <v>461</v>
      </c>
      <c r="C11" s="18" t="s">
        <v>462</v>
      </c>
      <c r="D11" s="18" t="s">
        <v>463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4"/>
    <col collapsed="false" customWidth="true" hidden="false" outlineLevel="0" max="3" min="3" style="1" width="16"/>
    <col collapsed="false" customWidth="true" hidden="false" outlineLevel="0" max="4" min="4" style="1" width="14"/>
    <col collapsed="false" customWidth="true" hidden="false" outlineLevel="0" max="5" min="5" style="1" width="80"/>
  </cols>
  <sheetData>
    <row r="1" customFormat="false" ht="17.25" hidden="false" customHeight="true" outlineLevel="0" collapsed="false">
      <c r="A1" s="8" t="s">
        <v>464</v>
      </c>
    </row>
    <row r="2" customFormat="false" ht="15" hidden="false" customHeight="true" outlineLevel="0" collapsed="false">
      <c r="A2" s="9" t="s">
        <v>465</v>
      </c>
    </row>
    <row r="4" customFormat="false" ht="15" hidden="false" customHeight="true" outlineLevel="0" collapsed="false">
      <c r="A4" s="10" t="s">
        <v>466</v>
      </c>
      <c r="B4" s="10" t="s">
        <v>467</v>
      </c>
      <c r="C4" s="10" t="s">
        <v>468</v>
      </c>
      <c r="D4" s="10" t="s">
        <v>469</v>
      </c>
      <c r="E4" s="10" t="s">
        <v>470</v>
      </c>
    </row>
    <row r="5" customFormat="false" ht="34.5" hidden="false" customHeight="true" outlineLevel="0" collapsed="false">
      <c r="A5" s="14" t="s">
        <v>471</v>
      </c>
      <c r="B5" s="14" t="s">
        <v>472</v>
      </c>
      <c r="C5" s="18" t="s">
        <v>473</v>
      </c>
      <c r="D5" s="18" t="s">
        <v>474</v>
      </c>
      <c r="E5" s="13" t="s">
        <v>475</v>
      </c>
    </row>
    <row r="6" customFormat="false" ht="34.5" hidden="false" customHeight="true" outlineLevel="0" collapsed="false">
      <c r="A6" s="14" t="s">
        <v>476</v>
      </c>
      <c r="B6" s="14" t="s">
        <v>472</v>
      </c>
      <c r="C6" s="18" t="s">
        <v>477</v>
      </c>
      <c r="D6" s="18" t="s">
        <v>474</v>
      </c>
      <c r="E6" s="13" t="s">
        <v>478</v>
      </c>
    </row>
    <row r="7" customFormat="false" ht="34.5" hidden="false" customHeight="true" outlineLevel="0" collapsed="false">
      <c r="A7" s="14" t="s">
        <v>479</v>
      </c>
      <c r="B7" s="14" t="s">
        <v>472</v>
      </c>
      <c r="C7" s="18" t="s">
        <v>480</v>
      </c>
      <c r="D7" s="18" t="s">
        <v>474</v>
      </c>
      <c r="E7" s="13" t="s">
        <v>481</v>
      </c>
    </row>
    <row r="8" customFormat="false" ht="34.5" hidden="false" customHeight="true" outlineLevel="0" collapsed="false">
      <c r="A8" s="14" t="s">
        <v>482</v>
      </c>
      <c r="B8" s="14" t="s">
        <v>472</v>
      </c>
      <c r="C8" s="18" t="s">
        <v>483</v>
      </c>
      <c r="D8" s="18" t="s">
        <v>474</v>
      </c>
      <c r="E8" s="13" t="s">
        <v>484</v>
      </c>
    </row>
    <row r="9" customFormat="false" ht="23.25" hidden="false" customHeight="true" outlineLevel="0" collapsed="false">
      <c r="A9" s="14" t="s">
        <v>485</v>
      </c>
      <c r="B9" s="14" t="s">
        <v>472</v>
      </c>
      <c r="C9" s="18" t="s">
        <v>486</v>
      </c>
      <c r="D9" s="18" t="s">
        <v>474</v>
      </c>
      <c r="E9" s="13" t="s">
        <v>487</v>
      </c>
    </row>
    <row r="10" customFormat="false" ht="23.25" hidden="false" customHeight="true" outlineLevel="0" collapsed="false">
      <c r="A10" s="14" t="s">
        <v>488</v>
      </c>
      <c r="B10" s="14" t="s">
        <v>472</v>
      </c>
      <c r="C10" s="18" t="s">
        <v>489</v>
      </c>
      <c r="D10" s="18" t="s">
        <v>474</v>
      </c>
      <c r="E10" s="13" t="s">
        <v>490</v>
      </c>
    </row>
    <row r="11" customFormat="false" ht="23.25" hidden="false" customHeight="true" outlineLevel="0" collapsed="false">
      <c r="A11" s="14" t="s">
        <v>491</v>
      </c>
      <c r="B11" s="14" t="s">
        <v>472</v>
      </c>
      <c r="C11" s="18" t="s">
        <v>492</v>
      </c>
      <c r="D11" s="18" t="s">
        <v>474</v>
      </c>
      <c r="E11" s="13" t="s">
        <v>493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2026-09-13T16:10:40Z</dcterms:created>
  <dc:creator>openpyxl</dc:creator>
  <dc:description/>
  <dc:language>en-US</dc:language>
  <cp:lastModifiedBy/>
  <dcterms:modified xsi:type="dcterms:W3CDTF">2026-09-13T16:16:18Z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